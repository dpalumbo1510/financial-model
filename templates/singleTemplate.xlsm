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CODE-Local\Projects\FinancialModel\templates\"/>
    </mc:Choice>
  </mc:AlternateContent>
  <xr:revisionPtr revIDLastSave="0" documentId="13_ncr:1_{610F05FD-938D-46F4-AFC4-A6EA2AE65323}" xr6:coauthVersionLast="47" xr6:coauthVersionMax="47" xr10:uidLastSave="{00000000-0000-0000-0000-000000000000}"/>
  <bookViews>
    <workbookView xWindow="-120" yWindow="-120" windowWidth="29040" windowHeight="17520" xr2:uid="{9A68FCAF-AA2E-4281-8140-640F82D88FC7}"/>
  </bookViews>
  <sheets>
    <sheet name="annualTemplate" sheetId="2" r:id="rId1"/>
    <sheet name="monthlyTemplat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56" i="2" l="1"/>
  <c r="D255" i="2"/>
  <c r="D254" i="2"/>
  <c r="D253" i="2"/>
  <c r="D252" i="2"/>
  <c r="E251" i="2"/>
  <c r="D250" i="2"/>
  <c r="D249" i="2"/>
  <c r="D247" i="2"/>
  <c r="D246" i="2"/>
  <c r="D33" i="2" s="1"/>
  <c r="E245" i="2"/>
  <c r="D244" i="2"/>
  <c r="D243" i="2"/>
  <c r="D245" i="2" s="1"/>
  <c r="D257" i="2" s="1"/>
  <c r="D240" i="2"/>
  <c r="D239" i="2"/>
  <c r="D238" i="2"/>
  <c r="D237" i="2"/>
  <c r="D236" i="2"/>
  <c r="E235" i="2"/>
  <c r="E241" i="2" s="1"/>
  <c r="D234" i="2"/>
  <c r="D233" i="2"/>
  <c r="E231" i="2"/>
  <c r="D230" i="2"/>
  <c r="D229" i="2"/>
  <c r="D228" i="2"/>
  <c r="D227" i="2"/>
  <c r="D226" i="2"/>
  <c r="D225" i="2"/>
  <c r="D219" i="2"/>
  <c r="D218" i="2"/>
  <c r="D217" i="2"/>
  <c r="E216" i="2"/>
  <c r="D215" i="2"/>
  <c r="D214" i="2"/>
  <c r="D216" i="2" s="1"/>
  <c r="E213" i="2"/>
  <c r="D212" i="2"/>
  <c r="D211" i="2"/>
  <c r="D209" i="2"/>
  <c r="D28" i="2" s="1"/>
  <c r="D208" i="2"/>
  <c r="D26" i="2" s="1"/>
  <c r="D207" i="2"/>
  <c r="D27" i="2" s="1"/>
  <c r="E206" i="2"/>
  <c r="D205" i="2"/>
  <c r="D204" i="2"/>
  <c r="D203" i="2"/>
  <c r="D206" i="2" s="1"/>
  <c r="D221" i="2" s="1"/>
  <c r="D200" i="2"/>
  <c r="E198" i="2"/>
  <c r="E201" i="2" s="1"/>
  <c r="D197" i="2"/>
  <c r="D196" i="2"/>
  <c r="D195" i="2"/>
  <c r="D194" i="2"/>
  <c r="D193" i="2"/>
  <c r="D188" i="2"/>
  <c r="D121" i="2" s="1"/>
  <c r="D125" i="2" s="1"/>
  <c r="D168" i="2"/>
  <c r="D171" i="2" s="1"/>
  <c r="D165" i="2"/>
  <c r="D157" i="2"/>
  <c r="D151" i="2"/>
  <c r="D210" i="2" s="1"/>
  <c r="D213" i="2" s="1"/>
  <c r="D147" i="2"/>
  <c r="D138" i="2"/>
  <c r="D114" i="2"/>
  <c r="D118" i="2" s="1"/>
  <c r="E103" i="2"/>
  <c r="D103" i="2"/>
  <c r="E99" i="2"/>
  <c r="D99" i="2"/>
  <c r="E93" i="2"/>
  <c r="D93" i="2"/>
  <c r="E89" i="2"/>
  <c r="D89" i="2"/>
  <c r="E81" i="2"/>
  <c r="D81" i="2"/>
  <c r="E67" i="2"/>
  <c r="D67" i="2"/>
  <c r="E64" i="2"/>
  <c r="D64" i="2"/>
  <c r="E59" i="2"/>
  <c r="D59" i="2"/>
  <c r="D114" i="1"/>
  <c r="D199" i="1" s="1"/>
  <c r="D238" i="1"/>
  <c r="D240" i="1"/>
  <c r="D256" i="1"/>
  <c r="D255" i="1"/>
  <c r="D254" i="1"/>
  <c r="D253" i="1"/>
  <c r="D252" i="1"/>
  <c r="D250" i="1"/>
  <c r="D249" i="1"/>
  <c r="D247" i="1"/>
  <c r="D246" i="1"/>
  <c r="D244" i="1"/>
  <c r="D243" i="1"/>
  <c r="D219" i="1"/>
  <c r="D218" i="1"/>
  <c r="D217" i="1"/>
  <c r="D215" i="1"/>
  <c r="D214" i="1"/>
  <c r="D212" i="1"/>
  <c r="D211" i="1"/>
  <c r="D209" i="1"/>
  <c r="D208" i="1"/>
  <c r="D207" i="1"/>
  <c r="D205" i="1"/>
  <c r="D204" i="1"/>
  <c r="D203" i="1"/>
  <c r="E21" i="2" l="1"/>
  <c r="E94" i="2"/>
  <c r="D94" i="2"/>
  <c r="D109" i="2" s="1"/>
  <c r="E82" i="2"/>
  <c r="E10" i="2" s="1"/>
  <c r="E257" i="2"/>
  <c r="E65" i="2"/>
  <c r="E9" i="2" s="1"/>
  <c r="D248" i="2"/>
  <c r="D251" i="2" s="1"/>
  <c r="D199" i="2"/>
  <c r="D65" i="2"/>
  <c r="D9" i="2" s="1"/>
  <c r="D198" i="2"/>
  <c r="D82" i="2"/>
  <c r="D10" i="2" s="1"/>
  <c r="D154" i="2"/>
  <c r="D161" i="2" s="1"/>
  <c r="D235" i="2"/>
  <c r="D241" i="2" s="1"/>
  <c r="D231" i="2"/>
  <c r="D20" i="2" s="1"/>
  <c r="D177" i="2"/>
  <c r="E221" i="2"/>
  <c r="E223" i="2" s="1"/>
  <c r="D181" i="2"/>
  <c r="D228" i="1"/>
  <c r="E259" i="2" l="1"/>
  <c r="E263" i="2" s="1"/>
  <c r="E22" i="2"/>
  <c r="E19" i="2"/>
  <c r="E20" i="2"/>
  <c r="D21" i="2"/>
  <c r="D22" i="2"/>
  <c r="D192" i="2"/>
  <c r="D201" i="2" s="1"/>
  <c r="D223" i="2" s="1"/>
  <c r="D19" i="2" s="1"/>
  <c r="D83" i="2"/>
  <c r="D11" i="2" s="1"/>
  <c r="E83" i="2"/>
  <c r="D259" i="2"/>
  <c r="D179" i="2"/>
  <c r="D111" i="2" s="1"/>
  <c r="D165" i="1"/>
  <c r="D157" i="1"/>
  <c r="D151" i="1"/>
  <c r="D147" i="1"/>
  <c r="E231" i="1"/>
  <c r="D200" i="1"/>
  <c r="D197" i="1"/>
  <c r="D196" i="1"/>
  <c r="D195" i="1"/>
  <c r="D194" i="1"/>
  <c r="D193" i="1"/>
  <c r="D239" i="1"/>
  <c r="D237" i="1"/>
  <c r="D236" i="1"/>
  <c r="D234" i="1"/>
  <c r="D233" i="1"/>
  <c r="D230" i="1"/>
  <c r="D229" i="1"/>
  <c r="D227" i="1"/>
  <c r="D226" i="1"/>
  <c r="D225" i="1"/>
  <c r="D168" i="1"/>
  <c r="D248" i="1" s="1"/>
  <c r="E95" i="2" l="1"/>
  <c r="E11" i="2"/>
  <c r="D263" i="2"/>
  <c r="D95" i="2"/>
  <c r="D12" i="2" s="1"/>
  <c r="D154" i="1"/>
  <c r="D161" i="1" s="1"/>
  <c r="D210" i="1"/>
  <c r="D171" i="1"/>
  <c r="D177" i="1" s="1"/>
  <c r="D231" i="1"/>
  <c r="E100" i="2" l="1"/>
  <c r="E12" i="2"/>
  <c r="D100" i="2"/>
  <c r="D13" i="2" s="1"/>
  <c r="D179" i="1"/>
  <c r="D111" i="1" s="1"/>
  <c r="D213" i="1"/>
  <c r="D206" i="1"/>
  <c r="D221" i="1" s="1"/>
  <c r="D245" i="1"/>
  <c r="D235" i="1"/>
  <c r="D241" i="1" s="1"/>
  <c r="D216" i="1"/>
  <c r="D198" i="1"/>
  <c r="D188" i="1"/>
  <c r="D138" i="1"/>
  <c r="D118" i="1"/>
  <c r="D103" i="1"/>
  <c r="D99" i="1"/>
  <c r="D93" i="1"/>
  <c r="D89" i="1"/>
  <c r="D81" i="1"/>
  <c r="D67" i="1"/>
  <c r="D64" i="1"/>
  <c r="D59" i="1"/>
  <c r="E104" i="2" l="1"/>
  <c r="E13" i="2"/>
  <c r="D104" i="2"/>
  <c r="D14" i="2" s="1"/>
  <c r="D121" i="1"/>
  <c r="D125" i="1" s="1"/>
  <c r="D251" i="1"/>
  <c r="D257" i="1" s="1"/>
  <c r="D259" i="1" s="1"/>
  <c r="D82" i="1"/>
  <c r="D94" i="1"/>
  <c r="D109" i="1" s="1"/>
  <c r="D65" i="1"/>
  <c r="E18" i="2" l="1"/>
  <c r="E14" i="2"/>
  <c r="E17" i="2"/>
  <c r="D17" i="2"/>
  <c r="D18" i="2"/>
  <c r="D108" i="2"/>
  <c r="D119" i="2" s="1"/>
  <c r="D140" i="2" s="1"/>
  <c r="D220" i="2" s="1"/>
  <c r="D181" i="1"/>
  <c r="D192" i="1"/>
  <c r="D201" i="1" s="1"/>
  <c r="D83" i="1"/>
  <c r="E251" i="1"/>
  <c r="E245" i="1"/>
  <c r="E235" i="1"/>
  <c r="E241" i="1" s="1"/>
  <c r="E216" i="1"/>
  <c r="E213" i="1"/>
  <c r="E206" i="1"/>
  <c r="E198" i="1"/>
  <c r="E201" i="1" s="1"/>
  <c r="E103" i="1"/>
  <c r="E99" i="1"/>
  <c r="E93" i="1"/>
  <c r="E89" i="1"/>
  <c r="E81" i="1"/>
  <c r="E67" i="1"/>
  <c r="E64" i="1"/>
  <c r="E59" i="1"/>
  <c r="E65" i="1" l="1"/>
  <c r="D223" i="1"/>
  <c r="D263" i="1" s="1"/>
  <c r="D95" i="1"/>
  <c r="D100" i="1" s="1"/>
  <c r="D104" i="1" s="1"/>
  <c r="D108" i="1" s="1"/>
  <c r="D119" i="1" s="1"/>
  <c r="E257" i="1"/>
  <c r="E259" i="1" s="1"/>
  <c r="E82" i="1"/>
  <c r="E94" i="1"/>
  <c r="E221" i="1"/>
  <c r="E223" i="1" s="1"/>
  <c r="E263" i="1" l="1"/>
  <c r="E83" i="1"/>
  <c r="E95" i="1" s="1"/>
  <c r="E100" i="1" s="1"/>
  <c r="E104" i="1" s="1"/>
  <c r="D140" i="1"/>
  <c r="D220" i="1" s="1"/>
</calcChain>
</file>

<file path=xl/sharedStrings.xml><?xml version="1.0" encoding="utf-8"?>
<sst xmlns="http://schemas.openxmlformats.org/spreadsheetml/2006/main" count="867" uniqueCount="215">
  <si>
    <t>Plant Name</t>
  </si>
  <si>
    <t>Cod: Plant Code</t>
  </si>
  <si>
    <r>
      <t xml:space="preserve">End of regulatory life: </t>
    </r>
    <r>
      <rPr>
        <sz val="10"/>
        <color rgb="FFFF0000"/>
        <rFont val="Calibri"/>
        <family val="2"/>
        <scheme val="minor"/>
      </rPr>
      <t>Year</t>
    </r>
  </si>
  <si>
    <t>Units</t>
  </si>
  <si>
    <t>Closing 
Prev. Per</t>
  </si>
  <si>
    <t>Inputs</t>
  </si>
  <si>
    <t>Pool curve</t>
  </si>
  <si>
    <t>€ / MWh</t>
  </si>
  <si>
    <t>Variable (TTF forward curve)</t>
  </si>
  <si>
    <t>Fixed term</t>
  </si>
  <si>
    <t xml:space="preserve">k€ </t>
  </si>
  <si>
    <t>Adder</t>
  </si>
  <si>
    <t>Gas Cost</t>
  </si>
  <si>
    <t>CO2 forward curve</t>
  </si>
  <si>
    <t>€ / t</t>
  </si>
  <si>
    <t>Discount to heat offtaker</t>
  </si>
  <si>
    <t>%</t>
  </si>
  <si>
    <t>Heat sale price</t>
  </si>
  <si>
    <t>Commercial</t>
  </si>
  <si>
    <t>Operating capacity</t>
  </si>
  <si>
    <t>MW</t>
  </si>
  <si>
    <t>Production</t>
  </si>
  <si>
    <t>MWh</t>
  </si>
  <si>
    <t>Self-consumption</t>
  </si>
  <si>
    <t>Capture ratio</t>
  </si>
  <si>
    <t>Load hours</t>
  </si>
  <si>
    <t>Hours</t>
  </si>
  <si>
    <t>Electrical efficiency (HHV)</t>
  </si>
  <si>
    <t>CO2 emission ratio</t>
  </si>
  <si>
    <t>Heat production</t>
  </si>
  <si>
    <t>kW</t>
  </si>
  <si>
    <t>Technical</t>
  </si>
  <si>
    <t>Ro H1 2020</t>
  </si>
  <si>
    <t>Ro H1 2022</t>
  </si>
  <si>
    <t>Ri</t>
  </si>
  <si>
    <t>Energy Tax Rate</t>
  </si>
  <si>
    <t>Regulatory</t>
  </si>
  <si>
    <t>Days</t>
  </si>
  <si>
    <t>Ro</t>
  </si>
  <si>
    <t>Pool</t>
  </si>
  <si>
    <t>Heat</t>
  </si>
  <si>
    <t>O&amp;M</t>
  </si>
  <si>
    <t>Other &amp; Unbilled Receivables</t>
  </si>
  <si>
    <t>Receivables days outstanding</t>
  </si>
  <si>
    <t>Gas</t>
  </si>
  <si>
    <t>Energy Tax</t>
  </si>
  <si>
    <t>Other &amp; Unbilled Payables</t>
  </si>
  <si>
    <t>Payables days outstanding</t>
  </si>
  <si>
    <t>CO2 inventory</t>
  </si>
  <si>
    <t>Other materials</t>
  </si>
  <si>
    <t>Inventory days</t>
  </si>
  <si>
    <t>Financial</t>
  </si>
  <si>
    <t>P&amp;L</t>
  </si>
  <si>
    <t>Other</t>
  </si>
  <si>
    <t>Net Revenues</t>
  </si>
  <si>
    <t>Direct expenses</t>
  </si>
  <si>
    <t>Personnel cost</t>
  </si>
  <si>
    <t>Non-personnel costs</t>
  </si>
  <si>
    <t>OPEX</t>
  </si>
  <si>
    <t>EBITDA</t>
  </si>
  <si>
    <t>€</t>
  </si>
  <si>
    <t>Financial result</t>
  </si>
  <si>
    <t>Amortisation of intangible own assets</t>
  </si>
  <si>
    <t>Depreciation of tangible own assets</t>
  </si>
  <si>
    <t>Depreciation of tangible own G2</t>
  </si>
  <si>
    <t>Depreciation of tangible own G3 EOH</t>
  </si>
  <si>
    <t>Depreciation of tangible own G3 linear</t>
  </si>
  <si>
    <t>Depreciation on own assets</t>
  </si>
  <si>
    <t>Amortisation of intangible acquired assets</t>
  </si>
  <si>
    <t>Depreciation of tangible acquired assets</t>
  </si>
  <si>
    <t>Depreciation of tangible acquired G3</t>
  </si>
  <si>
    <t>Depreciation on aquired assets</t>
  </si>
  <si>
    <t>Depreciation</t>
  </si>
  <si>
    <t>Profit before tax</t>
  </si>
  <si>
    <t>Deferred tax</t>
  </si>
  <si>
    <t>Tax</t>
  </si>
  <si>
    <t>Profit after tax</t>
  </si>
  <si>
    <t>Depreciation (add back)</t>
  </si>
  <si>
    <t>Depreciation IFRS 16 (add back)</t>
  </si>
  <si>
    <t>Change in Working Capital</t>
  </si>
  <si>
    <t>Change in Other non-current assets and liabilities</t>
  </si>
  <si>
    <t>(Gain) / Loss on sales of fixed assets</t>
  </si>
  <si>
    <t>Provisions</t>
  </si>
  <si>
    <t>Derivatives</t>
  </si>
  <si>
    <t>Other non-cash PnL items</t>
  </si>
  <si>
    <t>Other non-cash PnL items (e.g: FX impact, deferred tax)</t>
  </si>
  <si>
    <t>Operating CF</t>
  </si>
  <si>
    <t>CAPEX</t>
  </si>
  <si>
    <t>IFRS 16 capitalization</t>
  </si>
  <si>
    <t>Sales of Fixed Assets</t>
  </si>
  <si>
    <t>Investments</t>
  </si>
  <si>
    <t>Investing CF</t>
  </si>
  <si>
    <t>(Repayment) / Drawdown of 3rd party short-term loans</t>
  </si>
  <si>
    <t>(Repayment) / Drawdown of 3rd party long-term loans</t>
  </si>
  <si>
    <t>(Repayment) / Drawdown of IC short-term loans</t>
  </si>
  <si>
    <t>(Repayment) / Drawdown of IC long-term loans</t>
  </si>
  <si>
    <t>Repayment / (Drawdown) of 3rd party granted short-term loans</t>
  </si>
  <si>
    <t>Repayment / (Drawdown) of 3rd party granted long-term loans</t>
  </si>
  <si>
    <t>Repayment / (Drawdown) of IC granted short-term loans</t>
  </si>
  <si>
    <t>Repayment / (Drawdown) of IC granted long-term loans</t>
  </si>
  <si>
    <t>Change in capital</t>
  </si>
  <si>
    <t>Dividend payment</t>
  </si>
  <si>
    <t>Financing CF</t>
  </si>
  <si>
    <t>Total Cashflow</t>
  </si>
  <si>
    <t>Asset description</t>
  </si>
  <si>
    <t>Total CAPEX</t>
  </si>
  <si>
    <t>Balance sheet</t>
  </si>
  <si>
    <t>Property, plant and equipment</t>
  </si>
  <si>
    <t>Intangible assets</t>
  </si>
  <si>
    <t>Long-term loans given - 3rd party</t>
  </si>
  <si>
    <t>Long-term loans given - IC</t>
  </si>
  <si>
    <t>Other non-current financial assets</t>
  </si>
  <si>
    <t>Deferred tax assets</t>
  </si>
  <si>
    <t>Derivative financial instruments (A non-current)</t>
  </si>
  <si>
    <t>Natural gas</t>
  </si>
  <si>
    <t>Green Certificate</t>
  </si>
  <si>
    <t>Other inventory</t>
  </si>
  <si>
    <t>Inventories</t>
  </si>
  <si>
    <t>Trade receivables (incl accrued revenue) - 3rd party</t>
  </si>
  <si>
    <t>Trade receivables (incl accrued revenue) - IC</t>
  </si>
  <si>
    <t>Other receivables</t>
  </si>
  <si>
    <t>Trade and other receivables</t>
  </si>
  <si>
    <t>Granted loans and deposits</t>
  </si>
  <si>
    <t>Other current financial assets</t>
  </si>
  <si>
    <t>Derivative financial instruments (A current)</t>
  </si>
  <si>
    <t>Prepayments (current)</t>
  </si>
  <si>
    <t>Assets classified as held for sale</t>
  </si>
  <si>
    <t>Cash and cash equivalents</t>
  </si>
  <si>
    <t>Share capital and share premium</t>
  </si>
  <si>
    <t>Other reserves</t>
  </si>
  <si>
    <t>Retained earnings</t>
  </si>
  <si>
    <t>Profit for the year</t>
  </si>
  <si>
    <t>Non-controlling interests</t>
  </si>
  <si>
    <t>Long-term loans - 3rd party</t>
  </si>
  <si>
    <t>Long-term loans - IC</t>
  </si>
  <si>
    <t>Long-term loans</t>
  </si>
  <si>
    <t>Provisions - non-current</t>
  </si>
  <si>
    <t>Other non-current liabilities</t>
  </si>
  <si>
    <t>Deferred tax liabilities</t>
  </si>
  <si>
    <t>Derivative financial instruments (L non-current)</t>
  </si>
  <si>
    <t>Other non-current financial liabilities</t>
  </si>
  <si>
    <t>Short-term loans - 3rd party</t>
  </si>
  <si>
    <t>Short-term loans - IC</t>
  </si>
  <si>
    <t>Short-term loans</t>
  </si>
  <si>
    <t>Trade payables to third parties</t>
  </si>
  <si>
    <t>Trade payables to related parties</t>
  </si>
  <si>
    <t>Other payables</t>
  </si>
  <si>
    <t>Trade and other payables</t>
  </si>
  <si>
    <t>Other current financial liabilities</t>
  </si>
  <si>
    <t>Derivative financial instruments (L current)</t>
  </si>
  <si>
    <t>Tax payables</t>
  </si>
  <si>
    <t>Provisions - current</t>
  </si>
  <si>
    <t>Liabilities from discontinued operation</t>
  </si>
  <si>
    <t>Financing</t>
  </si>
  <si>
    <t>Market</t>
  </si>
  <si>
    <t>Ro revenue</t>
  </si>
  <si>
    <t>Rinv revenue</t>
  </si>
  <si>
    <t>Heat to industry CHP</t>
  </si>
  <si>
    <t>Heat to industry boiler</t>
  </si>
  <si>
    <t>Water to industry</t>
  </si>
  <si>
    <t>Nat gas fixed term</t>
  </si>
  <si>
    <t>Nat gas variable term CHP</t>
  </si>
  <si>
    <t>Nat gas variable term Boiler</t>
  </si>
  <si>
    <t>CO2 Emissions</t>
  </si>
  <si>
    <t>Gross margin</t>
  </si>
  <si>
    <t>Operation (Personnel expenses)</t>
  </si>
  <si>
    <t xml:space="preserve">CHP Maintenance </t>
  </si>
  <si>
    <t>Electricity tax</t>
  </si>
  <si>
    <t>REE - Next Sales Agent</t>
  </si>
  <si>
    <t>Land Rent</t>
  </si>
  <si>
    <t>Electric agent</t>
  </si>
  <si>
    <t>Administr. Legal cost / Supplies</t>
  </si>
  <si>
    <t>IBI, IAE, etc</t>
  </si>
  <si>
    <t>Bank Services</t>
  </si>
  <si>
    <t>Non financial and other capital gains</t>
  </si>
  <si>
    <t>Insurance</t>
  </si>
  <si>
    <t>Management fee</t>
  </si>
  <si>
    <t>Electricity supply</t>
  </si>
  <si>
    <t>Otros</t>
  </si>
  <si>
    <t>EBIT</t>
  </si>
  <si>
    <t>Factoring interests</t>
  </si>
  <si>
    <t>CAPEX line</t>
  </si>
  <si>
    <t>Current period tax expense</t>
  </si>
  <si>
    <t>Deferred period tax expense</t>
  </si>
  <si>
    <t>Total Working Capital Variation</t>
  </si>
  <si>
    <t>Base Column</t>
  </si>
  <si>
    <t>RO</t>
  </si>
  <si>
    <t>Trade receivables</t>
  </si>
  <si>
    <t>Trade payables</t>
  </si>
  <si>
    <t>DTLC</t>
  </si>
  <si>
    <t>Working Capital</t>
  </si>
  <si>
    <t>Cashflow</t>
  </si>
  <si>
    <t>Total Working Capital</t>
  </si>
  <si>
    <t>Current assets variation</t>
  </si>
  <si>
    <t>Current liabilities variation</t>
  </si>
  <si>
    <t>Non-current assets</t>
  </si>
  <si>
    <t>Current assets</t>
  </si>
  <si>
    <t>Total assets</t>
  </si>
  <si>
    <t>Equity</t>
  </si>
  <si>
    <t>Non-current liabilities</t>
  </si>
  <si>
    <t>Current liabilities</t>
  </si>
  <si>
    <t>Total equity and liabilities</t>
  </si>
  <si>
    <t xml:space="preserve">Check </t>
  </si>
  <si>
    <t>Revenue breakdown</t>
  </si>
  <si>
    <t>Revenues</t>
  </si>
  <si>
    <t>EBT</t>
  </si>
  <si>
    <t>PaT</t>
  </si>
  <si>
    <t>KPI's</t>
  </si>
  <si>
    <t>Endeudamiento total</t>
  </si>
  <si>
    <t>Endeudamiento a corto plazo</t>
  </si>
  <si>
    <t>Endeudamiento a largo plazo</t>
  </si>
  <si>
    <t>Apalancamiento total</t>
  </si>
  <si>
    <t>-</t>
  </si>
  <si>
    <t>Return to assets (ROA)</t>
  </si>
  <si>
    <t>Return to equity (ROE)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</si>
</sst>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_-* #,##0.0_-;\-* #,##0.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/>
      <name val="Webdings"/>
      <family val="1"/>
      <charset val="2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Gray">
        <fgColor auto="1"/>
        <bgColor theme="8" tint="0.79998168889431442"/>
      </patternFill>
    </fill>
    <fill>
      <patternFill patternType="lightGray">
        <fgColor auto="1"/>
        <bgColor theme="0" tint="-4.9989318521683403E-2"/>
      </patternFill>
    </fill>
    <fill>
      <patternFill patternType="lightGray">
        <fgColor auto="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lightGray">
        <fgColor auto="1"/>
        <bgColor theme="8" tint="0.59999389629810485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hair">
        <color auto="1"/>
      </right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dotted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auto="1"/>
      </right>
      <top style="dotted">
        <color indexed="64"/>
      </top>
      <bottom/>
      <diagonal/>
    </border>
    <border>
      <left/>
      <right style="hair">
        <color auto="1"/>
      </right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hair">
        <color auto="1"/>
      </left>
      <right style="hair">
        <color auto="1"/>
      </right>
      <top/>
      <bottom style="dashed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 indent="16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indent="16"/>
    </xf>
    <xf numFmtId="0" fontId="6" fillId="0" borderId="0" xfId="0" applyFont="1"/>
    <xf numFmtId="0" fontId="5" fillId="4" borderId="2" xfId="0" applyFont="1" applyFill="1" applyBorder="1" applyAlignment="1">
      <alignment horizontal="left" vertical="center" indent="1"/>
    </xf>
    <xf numFmtId="0" fontId="6" fillId="4" borderId="3" xfId="0" applyFont="1" applyFill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left" indent="1"/>
    </xf>
    <xf numFmtId="0" fontId="6" fillId="0" borderId="4" xfId="0" applyFont="1" applyBorder="1" applyAlignment="1">
      <alignment horizontal="center"/>
    </xf>
    <xf numFmtId="0" fontId="7" fillId="0" borderId="0" xfId="0" applyFont="1" applyAlignment="1">
      <alignment horizontal="left" indent="2"/>
    </xf>
    <xf numFmtId="0" fontId="2" fillId="0" borderId="4" xfId="0" applyFont="1" applyBorder="1" applyAlignment="1">
      <alignment horizontal="center"/>
    </xf>
    <xf numFmtId="0" fontId="7" fillId="0" borderId="5" xfId="0" applyFont="1" applyBorder="1" applyAlignment="1">
      <alignment horizontal="left" indent="2"/>
    </xf>
    <xf numFmtId="0" fontId="7" fillId="0" borderId="0" xfId="0" applyFont="1" applyAlignment="1">
      <alignment horizontal="left" indent="1"/>
    </xf>
    <xf numFmtId="0" fontId="7" fillId="0" borderId="5" xfId="0" applyFont="1" applyBorder="1" applyAlignment="1">
      <alignment horizontal="left" indent="1"/>
    </xf>
    <xf numFmtId="0" fontId="9" fillId="0" borderId="5" xfId="0" applyFont="1" applyBorder="1" applyAlignment="1">
      <alignment horizontal="left" indent="1"/>
    </xf>
    <xf numFmtId="0" fontId="6" fillId="0" borderId="7" xfId="0" applyFont="1" applyBorder="1" applyAlignment="1">
      <alignment horizontal="center"/>
    </xf>
    <xf numFmtId="0" fontId="5" fillId="4" borderId="0" xfId="0" applyFont="1" applyFill="1" applyAlignment="1">
      <alignment horizontal="left" vertical="center" indent="1"/>
    </xf>
    <xf numFmtId="0" fontId="6" fillId="4" borderId="2" xfId="0" applyFont="1" applyFill="1" applyBorder="1"/>
    <xf numFmtId="0" fontId="6" fillId="0" borderId="0" xfId="0" applyFont="1" applyAlignment="1">
      <alignment horizontal="left" indent="2"/>
    </xf>
    <xf numFmtId="0" fontId="6" fillId="0" borderId="7" xfId="0" applyFont="1" applyBorder="1" applyAlignment="1">
      <alignment horizontal="left" indent="2"/>
    </xf>
    <xf numFmtId="0" fontId="8" fillId="0" borderId="0" xfId="0" applyFont="1" applyAlignment="1">
      <alignment horizontal="left" indent="1"/>
    </xf>
    <xf numFmtId="0" fontId="6" fillId="0" borderId="0" xfId="0" applyFont="1" applyAlignment="1">
      <alignment horizontal="left" indent="4"/>
    </xf>
    <xf numFmtId="0" fontId="6" fillId="0" borderId="7" xfId="0" applyFont="1" applyBorder="1" applyAlignment="1">
      <alignment horizontal="left" indent="4"/>
    </xf>
    <xf numFmtId="0" fontId="8" fillId="0" borderId="0" xfId="0" applyFont="1" applyAlignment="1">
      <alignment horizontal="left" indent="3"/>
    </xf>
    <xf numFmtId="0" fontId="8" fillId="0" borderId="0" xfId="0" applyFont="1" applyAlignment="1">
      <alignment horizontal="left" indent="2"/>
    </xf>
    <xf numFmtId="0" fontId="7" fillId="0" borderId="0" xfId="0" applyFont="1" applyAlignment="1">
      <alignment horizontal="left" indent="3"/>
    </xf>
    <xf numFmtId="0" fontId="7" fillId="0" borderId="5" xfId="0" applyFont="1" applyBorder="1" applyAlignment="1">
      <alignment horizontal="left" indent="3"/>
    </xf>
    <xf numFmtId="0" fontId="2" fillId="4" borderId="3" xfId="0" applyFont="1" applyFill="1" applyBorder="1"/>
    <xf numFmtId="0" fontId="2" fillId="4" borderId="3" xfId="0" applyFont="1" applyFill="1" applyBorder="1" applyAlignment="1">
      <alignment horizontal="center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left" indent="2"/>
    </xf>
    <xf numFmtId="0" fontId="3" fillId="5" borderId="0" xfId="0" applyFont="1" applyFill="1"/>
    <xf numFmtId="0" fontId="3" fillId="6" borderId="5" xfId="0" applyFont="1" applyFill="1" applyBorder="1"/>
    <xf numFmtId="0" fontId="3" fillId="6" borderId="6" xfId="0" applyFont="1" applyFill="1" applyBorder="1" applyAlignment="1">
      <alignment horizontal="center"/>
    </xf>
    <xf numFmtId="0" fontId="2" fillId="0" borderId="5" xfId="0" applyFont="1" applyBorder="1" applyAlignment="1">
      <alignment horizontal="left" indent="2"/>
    </xf>
    <xf numFmtId="0" fontId="2" fillId="0" borderId="9" xfId="0" applyFont="1" applyBorder="1"/>
    <xf numFmtId="0" fontId="2" fillId="0" borderId="10" xfId="0" applyFont="1" applyBorder="1" applyAlignment="1">
      <alignment horizontal="center"/>
    </xf>
    <xf numFmtId="0" fontId="6" fillId="4" borderId="3" xfId="0" applyFont="1" applyFill="1" applyBorder="1" applyAlignment="1">
      <alignment horizontal="right"/>
    </xf>
    <xf numFmtId="0" fontId="6" fillId="0" borderId="4" xfId="0" applyFont="1" applyBorder="1" applyAlignment="1">
      <alignment horizontal="right"/>
    </xf>
    <xf numFmtId="0" fontId="2" fillId="4" borderId="3" xfId="0" applyFont="1" applyFill="1" applyBorder="1" applyAlignment="1">
      <alignment horizontal="right"/>
    </xf>
    <xf numFmtId="0" fontId="2" fillId="0" borderId="4" xfId="0" applyFont="1" applyBorder="1" applyAlignment="1">
      <alignment horizontal="right"/>
    </xf>
    <xf numFmtId="164" fontId="2" fillId="0" borderId="4" xfId="1" applyNumberFormat="1" applyFont="1" applyBorder="1" applyAlignment="1">
      <alignment horizontal="right"/>
    </xf>
    <xf numFmtId="0" fontId="2" fillId="0" borderId="10" xfId="0" applyFont="1" applyBorder="1" applyAlignment="1">
      <alignment horizontal="right"/>
    </xf>
    <xf numFmtId="0" fontId="2" fillId="0" borderId="0" xfId="0" applyFont="1" applyFill="1"/>
    <xf numFmtId="164" fontId="6" fillId="0" borderId="4" xfId="1" applyNumberFormat="1" applyFont="1" applyBorder="1" applyAlignment="1">
      <alignment horizontal="center"/>
    </xf>
    <xf numFmtId="164" fontId="6" fillId="0" borderId="8" xfId="1" applyNumberFormat="1" applyFont="1" applyBorder="1" applyAlignment="1">
      <alignment horizontal="center"/>
    </xf>
    <xf numFmtId="164" fontId="8" fillId="0" borderId="4" xfId="1" applyNumberFormat="1" applyFont="1" applyBorder="1" applyAlignment="1">
      <alignment horizontal="center"/>
    </xf>
    <xf numFmtId="164" fontId="6" fillId="0" borderId="6" xfId="1" applyNumberFormat="1" applyFont="1" applyBorder="1" applyAlignment="1">
      <alignment horizontal="center"/>
    </xf>
    <xf numFmtId="164" fontId="2" fillId="0" borderId="4" xfId="1" applyNumberFormat="1" applyFont="1" applyBorder="1" applyAlignment="1">
      <alignment horizontal="center"/>
    </xf>
    <xf numFmtId="164" fontId="3" fillId="5" borderId="4" xfId="1" applyNumberFormat="1" applyFont="1" applyFill="1" applyBorder="1" applyAlignment="1">
      <alignment horizontal="center"/>
    </xf>
    <xf numFmtId="164" fontId="2" fillId="0" borderId="6" xfId="1" applyNumberFormat="1" applyFont="1" applyBorder="1" applyAlignment="1">
      <alignment horizontal="center"/>
    </xf>
    <xf numFmtId="164" fontId="6" fillId="8" borderId="4" xfId="1" applyNumberFormat="1" applyFont="1" applyFill="1" applyBorder="1" applyAlignment="1">
      <alignment horizontal="right"/>
    </xf>
    <xf numFmtId="164" fontId="6" fillId="8" borderId="8" xfId="1" applyNumberFormat="1" applyFont="1" applyFill="1" applyBorder="1" applyAlignment="1">
      <alignment horizontal="right"/>
    </xf>
    <xf numFmtId="164" fontId="8" fillId="8" borderId="4" xfId="1" applyNumberFormat="1" applyFont="1" applyFill="1" applyBorder="1" applyAlignment="1">
      <alignment horizontal="right"/>
    </xf>
    <xf numFmtId="164" fontId="7" fillId="8" borderId="4" xfId="1" applyNumberFormat="1" applyFont="1" applyFill="1" applyBorder="1" applyAlignment="1">
      <alignment horizontal="right"/>
    </xf>
    <xf numFmtId="164" fontId="7" fillId="8" borderId="8" xfId="1" applyNumberFormat="1" applyFont="1" applyFill="1" applyBorder="1" applyAlignment="1">
      <alignment horizontal="right"/>
    </xf>
    <xf numFmtId="164" fontId="7" fillId="8" borderId="6" xfId="1" applyNumberFormat="1" applyFont="1" applyFill="1" applyBorder="1" applyAlignment="1">
      <alignment horizontal="right"/>
    </xf>
    <xf numFmtId="164" fontId="2" fillId="8" borderId="4" xfId="1" applyNumberFormat="1" applyFont="1" applyFill="1" applyBorder="1" applyAlignment="1">
      <alignment horizontal="right"/>
    </xf>
    <xf numFmtId="164" fontId="2" fillId="8" borderId="6" xfId="1" applyNumberFormat="1" applyFont="1" applyFill="1" applyBorder="1" applyAlignment="1">
      <alignment horizontal="right"/>
    </xf>
    <xf numFmtId="0" fontId="10" fillId="6" borderId="12" xfId="0" applyFont="1" applyFill="1" applyBorder="1" applyAlignment="1">
      <alignment horizontal="center" vertical="center"/>
    </xf>
    <xf numFmtId="0" fontId="6" fillId="9" borderId="4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2" fillId="9" borderId="6" xfId="0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164" fontId="2" fillId="9" borderId="4" xfId="1" applyNumberFormat="1" applyFont="1" applyFill="1" applyBorder="1" applyAlignment="1">
      <alignment horizontal="right"/>
    </xf>
    <xf numFmtId="0" fontId="2" fillId="9" borderId="4" xfId="0" applyFont="1" applyFill="1" applyBorder="1" applyAlignment="1">
      <alignment horizontal="right"/>
    </xf>
    <xf numFmtId="43" fontId="2" fillId="11" borderId="4" xfId="1" applyFont="1" applyFill="1" applyBorder="1" applyAlignment="1">
      <alignment horizontal="right"/>
    </xf>
    <xf numFmtId="164" fontId="9" fillId="0" borderId="4" xfId="1" applyNumberFormat="1" applyFont="1" applyBorder="1" applyAlignment="1">
      <alignment horizontal="center"/>
    </xf>
    <xf numFmtId="164" fontId="9" fillId="0" borderId="6" xfId="1" applyNumberFormat="1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43" fontId="2" fillId="0" borderId="17" xfId="1" applyFont="1" applyBorder="1" applyAlignment="1">
      <alignment horizontal="center"/>
    </xf>
    <xf numFmtId="43" fontId="2" fillId="0" borderId="13" xfId="1" applyFont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9" fillId="0" borderId="0" xfId="0" applyFont="1" applyAlignment="1">
      <alignment horizontal="left" indent="2"/>
    </xf>
    <xf numFmtId="0" fontId="9" fillId="0" borderId="5" xfId="0" applyFont="1" applyBorder="1" applyAlignment="1">
      <alignment horizontal="left" indent="2"/>
    </xf>
    <xf numFmtId="0" fontId="2" fillId="0" borderId="5" xfId="0" applyFont="1" applyBorder="1" applyAlignment="1">
      <alignment horizontal="left" indent="1"/>
    </xf>
    <xf numFmtId="0" fontId="2" fillId="0" borderId="0" xfId="0" applyFont="1" applyAlignment="1">
      <alignment horizontal="left"/>
    </xf>
    <xf numFmtId="0" fontId="2" fillId="0" borderId="20" xfId="0" applyFont="1" applyBorder="1" applyAlignment="1">
      <alignment horizontal="center"/>
    </xf>
    <xf numFmtId="164" fontId="2" fillId="0" borderId="18" xfId="1" applyNumberFormat="1" applyFont="1" applyBorder="1" applyAlignment="1">
      <alignment horizontal="center"/>
    </xf>
    <xf numFmtId="0" fontId="2" fillId="9" borderId="13" xfId="0" applyFont="1" applyFill="1" applyBorder="1" applyAlignment="1">
      <alignment horizontal="right"/>
    </xf>
    <xf numFmtId="164" fontId="2" fillId="0" borderId="14" xfId="1" applyNumberFormat="1" applyFont="1" applyBorder="1" applyAlignment="1">
      <alignment horizontal="center"/>
    </xf>
    <xf numFmtId="0" fontId="9" fillId="0" borderId="0" xfId="0" applyFont="1" applyAlignment="1">
      <alignment horizontal="left" indent="1"/>
    </xf>
    <xf numFmtId="0" fontId="9" fillId="0" borderId="19" xfId="0" applyFont="1" applyBorder="1" applyAlignment="1">
      <alignment horizontal="left" indent="1"/>
    </xf>
    <xf numFmtId="0" fontId="9" fillId="0" borderId="0" xfId="0" applyFont="1" applyAlignment="1">
      <alignment horizontal="left" indent="3"/>
    </xf>
    <xf numFmtId="0" fontId="9" fillId="0" borderId="5" xfId="0" applyFont="1" applyBorder="1" applyAlignment="1">
      <alignment horizontal="left" indent="3"/>
    </xf>
    <xf numFmtId="0" fontId="3" fillId="0" borderId="0" xfId="0" applyFont="1" applyFill="1"/>
    <xf numFmtId="0" fontId="3" fillId="0" borderId="13" xfId="0" applyFont="1" applyFill="1" applyBorder="1" applyAlignment="1">
      <alignment horizontal="center"/>
    </xf>
    <xf numFmtId="164" fontId="3" fillId="0" borderId="4" xfId="1" applyNumberFormat="1" applyFont="1" applyFill="1" applyBorder="1" applyAlignment="1">
      <alignment horizontal="center"/>
    </xf>
    <xf numFmtId="164" fontId="3" fillId="0" borderId="4" xfId="1" applyNumberFormat="1" applyFont="1" applyFill="1" applyBorder="1" applyAlignment="1">
      <alignment horizontal="right"/>
    </xf>
    <xf numFmtId="0" fontId="2" fillId="0" borderId="0" xfId="0" applyFont="1" applyFill="1" applyBorder="1"/>
    <xf numFmtId="0" fontId="3" fillId="6" borderId="12" xfId="0" applyFont="1" applyFill="1" applyBorder="1" applyAlignment="1">
      <alignment horizontal="left" vertical="center" indent="1"/>
    </xf>
    <xf numFmtId="0" fontId="3" fillId="10" borderId="13" xfId="0" applyFont="1" applyFill="1" applyBorder="1" applyAlignment="1">
      <alignment horizontal="right"/>
    </xf>
    <xf numFmtId="164" fontId="2" fillId="8" borderId="14" xfId="1" applyNumberFormat="1" applyFont="1" applyFill="1" applyBorder="1" applyAlignment="1">
      <alignment horizontal="right"/>
    </xf>
    <xf numFmtId="164" fontId="3" fillId="12" borderId="4" xfId="1" applyNumberFormat="1" applyFont="1" applyFill="1" applyBorder="1" applyAlignment="1">
      <alignment horizontal="right"/>
    </xf>
    <xf numFmtId="164" fontId="3" fillId="13" borderId="4" xfId="1" applyNumberFormat="1" applyFont="1" applyFill="1" applyBorder="1" applyAlignment="1">
      <alignment horizontal="right"/>
    </xf>
    <xf numFmtId="164" fontId="8" fillId="13" borderId="4" xfId="1" applyNumberFormat="1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8" fillId="5" borderId="0" xfId="0" applyFont="1" applyFill="1" applyBorder="1"/>
    <xf numFmtId="0" fontId="6" fillId="5" borderId="13" xfId="0" applyFont="1" applyFill="1" applyBorder="1" applyAlignment="1">
      <alignment horizontal="center"/>
    </xf>
    <xf numFmtId="0" fontId="6" fillId="14" borderId="0" xfId="0" applyFont="1" applyFill="1" applyBorder="1" applyAlignment="1">
      <alignment horizontal="center"/>
    </xf>
    <xf numFmtId="164" fontId="3" fillId="14" borderId="4" xfId="1" applyNumberFormat="1" applyFont="1" applyFill="1" applyBorder="1" applyAlignment="1">
      <alignment horizontal="right"/>
    </xf>
    <xf numFmtId="0" fontId="3" fillId="0" borderId="0" xfId="0" applyFont="1"/>
    <xf numFmtId="0" fontId="3" fillId="0" borderId="13" xfId="0" applyFont="1" applyBorder="1" applyAlignment="1">
      <alignment horizontal="center"/>
    </xf>
    <xf numFmtId="0" fontId="7" fillId="0" borderId="0" xfId="0" applyFont="1" applyBorder="1" applyAlignment="1">
      <alignment horizontal="left" indent="1"/>
    </xf>
    <xf numFmtId="165" fontId="9" fillId="0" borderId="13" xfId="2" applyNumberFormat="1" applyFont="1" applyBorder="1" applyAlignment="1">
      <alignment horizontal="center"/>
    </xf>
    <xf numFmtId="165" fontId="9" fillId="8" borderId="13" xfId="2" applyNumberFormat="1" applyFont="1" applyFill="1" applyBorder="1" applyAlignment="1">
      <alignment horizontal="center"/>
    </xf>
    <xf numFmtId="9" fontId="3" fillId="0" borderId="13" xfId="2" applyFont="1" applyBorder="1" applyAlignment="1">
      <alignment horizontal="center"/>
    </xf>
    <xf numFmtId="9" fontId="3" fillId="8" borderId="13" xfId="2" applyFont="1" applyFill="1" applyBorder="1" applyAlignment="1">
      <alignment horizontal="center"/>
    </xf>
    <xf numFmtId="43" fontId="6" fillId="0" borderId="13" xfId="1" applyNumberFormat="1" applyFont="1" applyBorder="1" applyAlignment="1">
      <alignment horizontal="right"/>
    </xf>
    <xf numFmtId="43" fontId="7" fillId="8" borderId="13" xfId="1" applyNumberFormat="1" applyFont="1" applyFill="1" applyBorder="1" applyAlignment="1">
      <alignment horizontal="right"/>
    </xf>
    <xf numFmtId="9" fontId="6" fillId="0" borderId="13" xfId="2" applyFont="1" applyBorder="1" applyAlignment="1">
      <alignment horizontal="right"/>
    </xf>
    <xf numFmtId="9" fontId="7" fillId="8" borderId="13" xfId="2" applyFont="1" applyFill="1" applyBorder="1" applyAlignment="1">
      <alignment horizontal="right"/>
    </xf>
    <xf numFmtId="166" fontId="6" fillId="0" borderId="13" xfId="1" applyNumberFormat="1" applyFont="1" applyBorder="1" applyAlignment="1">
      <alignment horizontal="right"/>
    </xf>
    <xf numFmtId="164" fontId="6" fillId="12" borderId="4" xfId="1" applyNumberFormat="1" applyFont="1" applyFill="1" applyBorder="1" applyAlignment="1">
      <alignment horizontal="right"/>
    </xf>
    <xf numFmtId="43" fontId="3" fillId="14" borderId="4" xfId="1" applyFont="1" applyFill="1" applyBorder="1" applyAlignment="1">
      <alignment horizontal="right"/>
    </xf>
    <xf numFmtId="0" fontId="3" fillId="6" borderId="0" xfId="0" applyFont="1" applyFill="1"/>
    <xf numFmtId="0" fontId="3" fillId="6" borderId="13" xfId="0" applyFont="1" applyFill="1" applyBorder="1" applyAlignment="1">
      <alignment horizontal="center"/>
    </xf>
    <xf numFmtId="164" fontId="3" fillId="6" borderId="4" xfId="1" applyNumberFormat="1" applyFont="1" applyFill="1" applyBorder="1" applyAlignment="1">
      <alignment horizontal="center"/>
    </xf>
    <xf numFmtId="164" fontId="3" fillId="9" borderId="4" xfId="1" applyNumberFormat="1" applyFont="1" applyFill="1" applyBorder="1" applyAlignment="1">
      <alignment horizontal="right"/>
    </xf>
    <xf numFmtId="0" fontId="2" fillId="5" borderId="13" xfId="0" applyFont="1" applyFill="1" applyBorder="1" applyAlignment="1">
      <alignment horizontal="center"/>
    </xf>
    <xf numFmtId="0" fontId="2" fillId="14" borderId="4" xfId="0" applyFont="1" applyFill="1" applyBorder="1" applyAlignment="1">
      <alignment horizontal="right"/>
    </xf>
    <xf numFmtId="43" fontId="3" fillId="5" borderId="13" xfId="1" applyFont="1" applyFill="1" applyBorder="1" applyAlignment="1">
      <alignment horizontal="center"/>
    </xf>
    <xf numFmtId="0" fontId="8" fillId="5" borderId="0" xfId="0" applyFont="1" applyFill="1"/>
    <xf numFmtId="0" fontId="8" fillId="5" borderId="13" xfId="0" applyFont="1" applyFill="1" applyBorder="1" applyAlignment="1">
      <alignment horizontal="center"/>
    </xf>
    <xf numFmtId="164" fontId="8" fillId="5" borderId="4" xfId="1" applyNumberFormat="1" applyFont="1" applyFill="1" applyBorder="1" applyAlignment="1">
      <alignment horizontal="center"/>
    </xf>
    <xf numFmtId="0" fontId="6" fillId="6" borderId="0" xfId="0" applyFont="1" applyFill="1" applyAlignment="1">
      <alignment horizontal="left" indent="2"/>
    </xf>
    <xf numFmtId="0" fontId="6" fillId="6" borderId="13" xfId="0" applyFont="1" applyFill="1" applyBorder="1" applyAlignment="1">
      <alignment horizontal="center"/>
    </xf>
    <xf numFmtId="164" fontId="6" fillId="6" borderId="4" xfId="1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wrapText="1"/>
    </xf>
    <xf numFmtId="0" fontId="5" fillId="3" borderId="11" xfId="0" applyFont="1" applyFill="1" applyBorder="1" applyAlignment="1">
      <alignment horizontal="center" wrapText="1"/>
    </xf>
    <xf numFmtId="0" fontId="9" fillId="0" borderId="0" xfId="0" applyFont="1" applyBorder="1" applyAlignment="1">
      <alignment horizontal="left" indent="1"/>
    </xf>
  </cellXfs>
  <cellStyles count="3">
    <cellStyle name="Comma" xfId="1" builtinId="3"/>
    <cellStyle name="Normal" xfId="0" builtinId="0"/>
    <cellStyle name="Per cent" xfId="2" builtinId="5"/>
  </cellStyles>
  <dxfs count="1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35717</xdr:colOff>
      <xdr:row>1</xdr:row>
      <xdr:rowOff>35717</xdr:rowOff>
    </xdr:from>
    <xdr:to>
      <xdr:col>1</xdr:col>
      <xdr:colOff>1095372</xdr:colOff>
      <xdr:row>3</xdr:row>
      <xdr:rowOff>130643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6C6EF7-156C-4403-B62E-17C5FCEFB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417" y="197642"/>
          <a:ext cx="1059655" cy="4187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35717</xdr:colOff>
      <xdr:row>1</xdr:row>
      <xdr:rowOff>35717</xdr:rowOff>
    </xdr:from>
    <xdr:to>
      <xdr:col>1</xdr:col>
      <xdr:colOff>1095372</xdr:colOff>
      <xdr:row>3</xdr:row>
      <xdr:rowOff>130643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36FF21-7478-4726-98E6-4FDEA7C11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655" y="202405"/>
          <a:ext cx="1059655" cy="4283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3E6F7-0E42-4CC2-A0B8-173977AF2517}">
  <sheetPr codeName="Sheet2"/>
  <dimension ref="A2:G263"/>
  <sheetViews>
    <sheetView showGridLines="0" tabSelected="1" zoomScale="80" zoomScaleNormal="80" workbookViewId="0">
      <selection activeCell="F99" sqref="F99"/>
    </sheetView>
  </sheetViews>
  <sheetFormatPr defaultRowHeight="12.75" outlineLevelRow="4" x14ac:dyDescent="0.2"/>
  <cols>
    <col min="1" max="1" width="4" style="1" customWidth="1"/>
    <col min="2" max="2" width="57" style="1" bestFit="1" customWidth="1"/>
    <col min="3" max="3" width="8.7109375" style="3" customWidth="1"/>
    <col min="4" max="4" width="11.7109375" style="3" customWidth="1"/>
    <col min="5" max="5" width="11.5703125" style="3" customWidth="1"/>
    <col min="6" max="16384" width="9.140625" style="1"/>
  </cols>
  <sheetData>
    <row r="2" spans="1:7" x14ac:dyDescent="0.2">
      <c r="B2" s="2" t="s">
        <v>0</v>
      </c>
      <c r="G2" s="45"/>
    </row>
    <row r="3" spans="1:7" x14ac:dyDescent="0.2">
      <c r="B3" s="4" t="s">
        <v>1</v>
      </c>
      <c r="G3" s="45"/>
    </row>
    <row r="4" spans="1:7" x14ac:dyDescent="0.2">
      <c r="B4" s="4" t="s">
        <v>2</v>
      </c>
      <c r="C4" s="142" t="s">
        <v>3</v>
      </c>
      <c r="D4" s="144" t="s">
        <v>185</v>
      </c>
      <c r="E4" s="146" t="s">
        <v>4</v>
      </c>
    </row>
    <row r="5" spans="1:7" x14ac:dyDescent="0.2">
      <c r="B5" s="5"/>
      <c r="C5" s="143"/>
      <c r="D5" s="145"/>
      <c r="E5" s="147"/>
    </row>
    <row r="6" spans="1:7" x14ac:dyDescent="0.2">
      <c r="A6" s="6" t="s">
        <v>207</v>
      </c>
      <c r="B6" s="7"/>
      <c r="C6" s="8"/>
      <c r="D6" s="8"/>
      <c r="E6" s="8"/>
    </row>
    <row r="7" spans="1:7" x14ac:dyDescent="0.2">
      <c r="C7" s="78"/>
      <c r="D7" s="78"/>
    </row>
    <row r="8" spans="1:7" hidden="1" outlineLevel="1" x14ac:dyDescent="0.2">
      <c r="B8" s="115" t="s">
        <v>204</v>
      </c>
      <c r="C8" s="116"/>
      <c r="D8" s="120">
        <v>1</v>
      </c>
      <c r="E8" s="121">
        <v>1</v>
      </c>
    </row>
    <row r="9" spans="1:7" hidden="1" outlineLevel="1" x14ac:dyDescent="0.2">
      <c r="B9" s="95" t="s">
        <v>164</v>
      </c>
      <c r="C9" s="72"/>
      <c r="D9" s="118" t="e">
        <f>(D65/D$59)</f>
        <v>#DIV/0!</v>
      </c>
      <c r="E9" s="119" t="e">
        <f>(E65/E$59)</f>
        <v>#DIV/0!</v>
      </c>
    </row>
    <row r="10" spans="1:7" hidden="1" outlineLevel="1" x14ac:dyDescent="0.2">
      <c r="B10" s="95" t="s">
        <v>58</v>
      </c>
      <c r="C10" s="72"/>
      <c r="D10" s="118" t="e">
        <f>(D82/D$59)</f>
        <v>#DIV/0!</v>
      </c>
      <c r="E10" s="119" t="e">
        <f>(E82/E$59)</f>
        <v>#DIV/0!</v>
      </c>
    </row>
    <row r="11" spans="1:7" hidden="1" outlineLevel="1" x14ac:dyDescent="0.2">
      <c r="B11" s="95" t="s">
        <v>59</v>
      </c>
      <c r="C11" s="72"/>
      <c r="D11" s="118" t="e">
        <f>(D83/D$59)</f>
        <v>#DIV/0!</v>
      </c>
      <c r="E11" s="119" t="e">
        <f>(E83/E$59)</f>
        <v>#DIV/0!</v>
      </c>
    </row>
    <row r="12" spans="1:7" hidden="1" outlineLevel="1" x14ac:dyDescent="0.2">
      <c r="B12" s="95" t="s">
        <v>179</v>
      </c>
      <c r="C12" s="72"/>
      <c r="D12" s="118" t="e">
        <f>(D95/D$59)</f>
        <v>#DIV/0!</v>
      </c>
      <c r="E12" s="119" t="e">
        <f>(E95/E$59)</f>
        <v>#DIV/0!</v>
      </c>
    </row>
    <row r="13" spans="1:7" hidden="1" outlineLevel="1" x14ac:dyDescent="0.2">
      <c r="B13" s="95" t="s">
        <v>205</v>
      </c>
      <c r="C13" s="72"/>
      <c r="D13" s="118" t="e">
        <f>(D100/D$59)</f>
        <v>#DIV/0!</v>
      </c>
      <c r="E13" s="119" t="e">
        <f>(E100/E$59)</f>
        <v>#DIV/0!</v>
      </c>
    </row>
    <row r="14" spans="1:7" hidden="1" outlineLevel="1" x14ac:dyDescent="0.2">
      <c r="B14" s="95" t="s">
        <v>206</v>
      </c>
      <c r="C14" s="72"/>
      <c r="D14" s="118" t="e">
        <f>(D104/D$59)</f>
        <v>#DIV/0!</v>
      </c>
      <c r="E14" s="119" t="e">
        <f>(E104/E$59)</f>
        <v>#DIV/0!</v>
      </c>
    </row>
    <row r="15" spans="1:7" collapsed="1" x14ac:dyDescent="0.2">
      <c r="B15" s="111" t="s">
        <v>203</v>
      </c>
      <c r="C15" s="112"/>
      <c r="D15" s="112"/>
      <c r="E15" s="113"/>
    </row>
    <row r="16" spans="1:7" x14ac:dyDescent="0.2">
      <c r="B16" s="5"/>
      <c r="C16" s="71"/>
      <c r="D16" s="71"/>
      <c r="E16" s="110"/>
    </row>
    <row r="17" spans="2:5" hidden="1" outlineLevel="1" x14ac:dyDescent="0.2">
      <c r="B17" s="14" t="s">
        <v>213</v>
      </c>
      <c r="C17" s="71"/>
      <c r="D17" s="122" t="e">
        <f>D104/D223</f>
        <v>#VALUE!</v>
      </c>
      <c r="E17" s="123" t="e">
        <f>E104/E223</f>
        <v>#DIV/0!</v>
      </c>
    </row>
    <row r="18" spans="2:5" hidden="1" outlineLevel="1" x14ac:dyDescent="0.2">
      <c r="B18" s="117" t="s">
        <v>214</v>
      </c>
      <c r="C18" s="71"/>
      <c r="D18" s="122" t="e">
        <f>D104/D231</f>
        <v>#DIV/0!</v>
      </c>
      <c r="E18" s="123" t="e">
        <f>E104/E231</f>
        <v>#DIV/0!</v>
      </c>
    </row>
    <row r="19" spans="2:5" hidden="1" outlineLevel="1" x14ac:dyDescent="0.2">
      <c r="B19" s="117" t="s">
        <v>208</v>
      </c>
      <c r="C19" s="71"/>
      <c r="D19" s="124" t="e">
        <f>(D257+D241)/D223</f>
        <v>#VALUE!</v>
      </c>
      <c r="E19" s="125" t="e">
        <f>(E257+E241)/E223</f>
        <v>#DIV/0!</v>
      </c>
    </row>
    <row r="20" spans="2:5" hidden="1" outlineLevel="1" x14ac:dyDescent="0.2">
      <c r="B20" s="117" t="s">
        <v>209</v>
      </c>
      <c r="C20" s="71"/>
      <c r="D20" s="122" t="e">
        <f>D257/D231</f>
        <v>#VALUE!</v>
      </c>
      <c r="E20" s="123" t="e">
        <f>E257/E231</f>
        <v>#DIV/0!</v>
      </c>
    </row>
    <row r="21" spans="2:5" hidden="1" outlineLevel="1" x14ac:dyDescent="0.2">
      <c r="B21" s="117" t="s">
        <v>210</v>
      </c>
      <c r="C21" s="71"/>
      <c r="D21" s="122" t="e">
        <f>D241/D231</f>
        <v>#VALUE!</v>
      </c>
      <c r="E21" s="123" t="e">
        <f>E241/E231</f>
        <v>#DIV/0!</v>
      </c>
    </row>
    <row r="22" spans="2:5" hidden="1" outlineLevel="1" x14ac:dyDescent="0.2">
      <c r="B22" s="117" t="s">
        <v>211</v>
      </c>
      <c r="C22" s="71"/>
      <c r="D22" s="122" t="e">
        <f>(D257+D241)/D231</f>
        <v>#VALUE!</v>
      </c>
      <c r="E22" s="123" t="e">
        <f>(E257+E241)/E231</f>
        <v>#DIV/0!</v>
      </c>
    </row>
    <row r="23" spans="2:5" collapsed="1" x14ac:dyDescent="0.2">
      <c r="B23" s="111" t="s">
        <v>51</v>
      </c>
      <c r="C23" s="112"/>
      <c r="D23" s="112"/>
      <c r="E23" s="113"/>
    </row>
    <row r="24" spans="2:5" x14ac:dyDescent="0.2">
      <c r="B24" s="5"/>
      <c r="C24" s="71"/>
      <c r="D24" s="71"/>
      <c r="E24" s="110"/>
    </row>
    <row r="25" spans="2:5" hidden="1" outlineLevel="1" x14ac:dyDescent="0.2">
      <c r="B25" s="14" t="s">
        <v>34</v>
      </c>
      <c r="C25" s="71" t="s">
        <v>37</v>
      </c>
      <c r="D25" s="126" t="s">
        <v>212</v>
      </c>
      <c r="E25" s="62"/>
    </row>
    <row r="26" spans="2:5" hidden="1" outlineLevel="1" x14ac:dyDescent="0.2">
      <c r="B26" s="14" t="s">
        <v>38</v>
      </c>
      <c r="C26" s="71" t="s">
        <v>37</v>
      </c>
      <c r="D26" s="126" t="e">
        <f>360/((D54)/((C208+D208)/2))</f>
        <v>#VALUE!</v>
      </c>
      <c r="E26" s="62"/>
    </row>
    <row r="27" spans="2:5" hidden="1" outlineLevel="1" x14ac:dyDescent="0.2">
      <c r="B27" s="14" t="s">
        <v>39</v>
      </c>
      <c r="C27" s="71" t="s">
        <v>37</v>
      </c>
      <c r="D27" s="126" t="e">
        <f>360/((D53)/((C207+D207)/2))</f>
        <v>#VALUE!</v>
      </c>
      <c r="E27" s="62"/>
    </row>
    <row r="28" spans="2:5" hidden="1" outlineLevel="1" x14ac:dyDescent="0.2">
      <c r="B28" s="14" t="s">
        <v>40</v>
      </c>
      <c r="C28" s="71" t="s">
        <v>37</v>
      </c>
      <c r="D28" s="126" t="e">
        <f>360/((D56)/((C209+D209)/2))</f>
        <v>#VALUE!</v>
      </c>
      <c r="E28" s="62"/>
    </row>
    <row r="29" spans="2:5" hidden="1" outlineLevel="1" x14ac:dyDescent="0.2">
      <c r="B29" s="14" t="s">
        <v>41</v>
      </c>
      <c r="C29" s="71" t="s">
        <v>37</v>
      </c>
      <c r="D29" s="126" t="s">
        <v>212</v>
      </c>
      <c r="E29" s="62"/>
    </row>
    <row r="30" spans="2:5" hidden="1" outlineLevel="1" x14ac:dyDescent="0.2">
      <c r="B30" s="117" t="s">
        <v>42</v>
      </c>
      <c r="C30" s="71" t="s">
        <v>37</v>
      </c>
      <c r="D30" s="126" t="s">
        <v>212</v>
      </c>
      <c r="E30" s="62"/>
    </row>
    <row r="31" spans="2:5" collapsed="1" x14ac:dyDescent="0.2">
      <c r="B31" s="111" t="s">
        <v>43</v>
      </c>
      <c r="C31" s="112"/>
      <c r="D31" s="112"/>
      <c r="E31" s="113"/>
    </row>
    <row r="32" spans="2:5" x14ac:dyDescent="0.2">
      <c r="B32" s="5"/>
      <c r="C32" s="71"/>
      <c r="D32" s="71"/>
      <c r="E32" s="110"/>
    </row>
    <row r="33" spans="2:5" hidden="1" outlineLevel="1" x14ac:dyDescent="0.2">
      <c r="B33" s="14" t="s">
        <v>44</v>
      </c>
      <c r="C33" s="71" t="s">
        <v>37</v>
      </c>
      <c r="D33" s="126" t="e">
        <f>(D246*360)/D61</f>
        <v>#VALUE!</v>
      </c>
      <c r="E33" s="62"/>
    </row>
    <row r="34" spans="2:5" hidden="1" outlineLevel="1" x14ac:dyDescent="0.2">
      <c r="B34" s="14" t="s">
        <v>45</v>
      </c>
      <c r="C34" s="71" t="s">
        <v>37</v>
      </c>
      <c r="D34" s="126" t="s">
        <v>212</v>
      </c>
      <c r="E34" s="62"/>
    </row>
    <row r="35" spans="2:5" hidden="1" outlineLevel="1" x14ac:dyDescent="0.2">
      <c r="B35" s="14" t="s">
        <v>41</v>
      </c>
      <c r="C35" s="71" t="s">
        <v>37</v>
      </c>
      <c r="D35" s="126" t="s">
        <v>212</v>
      </c>
      <c r="E35" s="62"/>
    </row>
    <row r="36" spans="2:5" hidden="1" outlineLevel="1" x14ac:dyDescent="0.2">
      <c r="B36" s="117" t="s">
        <v>46</v>
      </c>
      <c r="C36" s="71" t="s">
        <v>37</v>
      </c>
      <c r="D36" s="126" t="s">
        <v>212</v>
      </c>
      <c r="E36" s="62"/>
    </row>
    <row r="37" spans="2:5" collapsed="1" x14ac:dyDescent="0.2">
      <c r="B37" s="111" t="s">
        <v>47</v>
      </c>
      <c r="C37" s="112"/>
      <c r="D37" s="112"/>
      <c r="E37" s="113"/>
    </row>
    <row r="38" spans="2:5" x14ac:dyDescent="0.2">
      <c r="B38" s="5"/>
      <c r="C38" s="71"/>
      <c r="D38" s="71"/>
      <c r="E38" s="110"/>
    </row>
    <row r="39" spans="2:5" hidden="1" outlineLevel="1" x14ac:dyDescent="0.2">
      <c r="B39" s="14" t="s">
        <v>48</v>
      </c>
      <c r="C39" s="71" t="s">
        <v>37</v>
      </c>
      <c r="D39" s="71"/>
      <c r="E39" s="62"/>
    </row>
    <row r="40" spans="2:5" hidden="1" outlineLevel="1" x14ac:dyDescent="0.2">
      <c r="B40" s="148" t="s">
        <v>49</v>
      </c>
      <c r="C40" s="71" t="s">
        <v>37</v>
      </c>
      <c r="D40" s="71"/>
      <c r="E40" s="62"/>
    </row>
    <row r="41" spans="2:5" collapsed="1" x14ac:dyDescent="0.2">
      <c r="B41" s="111" t="s">
        <v>50</v>
      </c>
      <c r="C41" s="112"/>
      <c r="D41" s="112"/>
      <c r="E41" s="113"/>
    </row>
    <row r="42" spans="2:5" x14ac:dyDescent="0.2">
      <c r="B42" s="5"/>
      <c r="C42" s="76"/>
      <c r="D42" s="76"/>
      <c r="E42" s="17"/>
    </row>
    <row r="43" spans="2:5" hidden="1" x14ac:dyDescent="0.2">
      <c r="B43" s="5"/>
      <c r="C43" s="17"/>
      <c r="D43" s="17"/>
      <c r="E43" s="17"/>
    </row>
    <row r="44" spans="2:5" hidden="1" x14ac:dyDescent="0.2">
      <c r="B44" s="5"/>
      <c r="C44" s="17"/>
      <c r="D44" s="17"/>
      <c r="E44" s="17"/>
    </row>
    <row r="45" spans="2:5" hidden="1" x14ac:dyDescent="0.2">
      <c r="B45" s="5"/>
      <c r="C45" s="17"/>
      <c r="D45" s="17"/>
      <c r="E45" s="17"/>
    </row>
    <row r="46" spans="2:5" hidden="1" x14ac:dyDescent="0.2">
      <c r="B46" s="5"/>
      <c r="C46" s="17"/>
      <c r="D46" s="17"/>
      <c r="E46" s="17"/>
    </row>
    <row r="47" spans="2:5" hidden="1" x14ac:dyDescent="0.2">
      <c r="B47" s="5"/>
      <c r="C47" s="17"/>
      <c r="D47" s="17"/>
      <c r="E47" s="17"/>
    </row>
    <row r="48" spans="2:5" hidden="1" x14ac:dyDescent="0.2">
      <c r="B48" s="5"/>
      <c r="C48" s="17"/>
      <c r="D48" s="17"/>
      <c r="E48" s="17"/>
    </row>
    <row r="49" spans="1:5" hidden="1" x14ac:dyDescent="0.2">
      <c r="B49" s="5"/>
      <c r="C49" s="17"/>
      <c r="D49" s="17"/>
      <c r="E49" s="17"/>
    </row>
    <row r="50" spans="1:5" hidden="1" x14ac:dyDescent="0.2">
      <c r="B50" s="5"/>
      <c r="C50" s="17"/>
      <c r="D50" s="17"/>
      <c r="E50" s="17"/>
    </row>
    <row r="51" spans="1:5" x14ac:dyDescent="0.2">
      <c r="A51" s="18" t="s">
        <v>52</v>
      </c>
      <c r="B51" s="19"/>
      <c r="C51" s="8"/>
      <c r="D51" s="8"/>
      <c r="E51" s="39"/>
    </row>
    <row r="52" spans="1:5" x14ac:dyDescent="0.2">
      <c r="B52" s="5"/>
      <c r="C52" s="75"/>
      <c r="D52" s="10"/>
      <c r="E52" s="40"/>
    </row>
    <row r="53" spans="1:5" hidden="1" outlineLevel="2" x14ac:dyDescent="0.2">
      <c r="B53" s="20" t="s">
        <v>154</v>
      </c>
      <c r="C53" s="71" t="s">
        <v>60</v>
      </c>
      <c r="D53" s="46"/>
      <c r="E53" s="53"/>
    </row>
    <row r="54" spans="1:5" hidden="1" outlineLevel="2" x14ac:dyDescent="0.2">
      <c r="B54" s="20" t="s">
        <v>155</v>
      </c>
      <c r="C54" s="71" t="s">
        <v>60</v>
      </c>
      <c r="D54" s="46"/>
      <c r="E54" s="53"/>
    </row>
    <row r="55" spans="1:5" hidden="1" outlineLevel="2" x14ac:dyDescent="0.2">
      <c r="B55" s="20" t="s">
        <v>156</v>
      </c>
      <c r="C55" s="71" t="s">
        <v>60</v>
      </c>
      <c r="D55" s="46"/>
      <c r="E55" s="53"/>
    </row>
    <row r="56" spans="1:5" hidden="1" outlineLevel="2" x14ac:dyDescent="0.2">
      <c r="B56" s="20" t="s">
        <v>157</v>
      </c>
      <c r="C56" s="71" t="s">
        <v>60</v>
      </c>
      <c r="D56" s="46"/>
      <c r="E56" s="53"/>
    </row>
    <row r="57" spans="1:5" hidden="1" outlineLevel="2" x14ac:dyDescent="0.2">
      <c r="B57" s="20" t="s">
        <v>158</v>
      </c>
      <c r="C57" s="71" t="s">
        <v>60</v>
      </c>
      <c r="D57" s="46"/>
      <c r="E57" s="53"/>
    </row>
    <row r="58" spans="1:5" hidden="1" outlineLevel="2" x14ac:dyDescent="0.2">
      <c r="B58" s="21" t="s">
        <v>159</v>
      </c>
      <c r="C58" s="76" t="s">
        <v>60</v>
      </c>
      <c r="D58" s="47"/>
      <c r="E58" s="54"/>
    </row>
    <row r="59" spans="1:5" hidden="1" outlineLevel="1" x14ac:dyDescent="0.2">
      <c r="B59" s="22" t="s">
        <v>54</v>
      </c>
      <c r="C59" s="77" t="s">
        <v>60</v>
      </c>
      <c r="D59" s="48">
        <f>SUM(D53:D58)</f>
        <v>0</v>
      </c>
      <c r="E59" s="55">
        <f>SUM(E53:E58)</f>
        <v>0</v>
      </c>
    </row>
    <row r="60" spans="1:5" hidden="1" outlineLevel="2" x14ac:dyDescent="0.2">
      <c r="B60" s="20" t="s">
        <v>160</v>
      </c>
      <c r="C60" s="71" t="s">
        <v>60</v>
      </c>
      <c r="D60" s="46"/>
      <c r="E60" s="53"/>
    </row>
    <row r="61" spans="1:5" hidden="1" outlineLevel="2" x14ac:dyDescent="0.2">
      <c r="B61" s="20" t="s">
        <v>161</v>
      </c>
      <c r="C61" s="71" t="s">
        <v>60</v>
      </c>
      <c r="D61" s="46"/>
      <c r="E61" s="53"/>
    </row>
    <row r="62" spans="1:5" hidden="1" outlineLevel="2" x14ac:dyDescent="0.2">
      <c r="B62" s="20" t="s">
        <v>162</v>
      </c>
      <c r="C62" s="71" t="s">
        <v>60</v>
      </c>
      <c r="D62" s="46"/>
      <c r="E62" s="53"/>
    </row>
    <row r="63" spans="1:5" hidden="1" outlineLevel="2" x14ac:dyDescent="0.2">
      <c r="B63" s="21" t="s">
        <v>163</v>
      </c>
      <c r="C63" s="76" t="s">
        <v>60</v>
      </c>
      <c r="D63" s="47"/>
      <c r="E63" s="54"/>
    </row>
    <row r="64" spans="1:5" hidden="1" outlineLevel="1" x14ac:dyDescent="0.2">
      <c r="B64" s="22" t="s">
        <v>55</v>
      </c>
      <c r="C64" s="77" t="s">
        <v>60</v>
      </c>
      <c r="D64" s="48">
        <f>SUM(D60:D63)</f>
        <v>0</v>
      </c>
      <c r="E64" s="55">
        <f>SUM(E60:E63)</f>
        <v>0</v>
      </c>
    </row>
    <row r="65" spans="2:5" hidden="1" outlineLevel="1" x14ac:dyDescent="0.2">
      <c r="B65" s="136" t="s">
        <v>164</v>
      </c>
      <c r="C65" s="137" t="s">
        <v>60</v>
      </c>
      <c r="D65" s="138">
        <f>D59-D64</f>
        <v>0</v>
      </c>
      <c r="E65" s="109">
        <f>E59+E64</f>
        <v>0</v>
      </c>
    </row>
    <row r="66" spans="2:5" hidden="1" outlineLevel="4" x14ac:dyDescent="0.2">
      <c r="B66" s="24" t="s">
        <v>165</v>
      </c>
      <c r="C66" s="76" t="s">
        <v>60</v>
      </c>
      <c r="D66" s="47"/>
      <c r="E66" s="54"/>
    </row>
    <row r="67" spans="2:5" hidden="1" outlineLevel="3" x14ac:dyDescent="0.2">
      <c r="B67" s="25" t="s">
        <v>56</v>
      </c>
      <c r="C67" s="77" t="s">
        <v>60</v>
      </c>
      <c r="D67" s="48">
        <f>SUM(D66)</f>
        <v>0</v>
      </c>
      <c r="E67" s="55">
        <f>SUM(E66)</f>
        <v>0</v>
      </c>
    </row>
    <row r="68" spans="2:5" hidden="1" outlineLevel="4" x14ac:dyDescent="0.2">
      <c r="B68" s="23" t="s">
        <v>166</v>
      </c>
      <c r="C68" s="71" t="s">
        <v>60</v>
      </c>
      <c r="D68" s="46"/>
      <c r="E68" s="56"/>
    </row>
    <row r="69" spans="2:5" hidden="1" outlineLevel="4" x14ac:dyDescent="0.2">
      <c r="B69" s="23" t="s">
        <v>167</v>
      </c>
      <c r="C69" s="71" t="s">
        <v>60</v>
      </c>
      <c r="D69" s="46"/>
      <c r="E69" s="56"/>
    </row>
    <row r="70" spans="2:5" hidden="1" outlineLevel="4" x14ac:dyDescent="0.2">
      <c r="B70" s="23" t="s">
        <v>168</v>
      </c>
      <c r="C70" s="71" t="s">
        <v>60</v>
      </c>
      <c r="D70" s="46"/>
      <c r="E70" s="56"/>
    </row>
    <row r="71" spans="2:5" hidden="1" outlineLevel="4" x14ac:dyDescent="0.2">
      <c r="B71" s="23" t="s">
        <v>169</v>
      </c>
      <c r="C71" s="71" t="s">
        <v>60</v>
      </c>
      <c r="D71" s="46"/>
      <c r="E71" s="56"/>
    </row>
    <row r="72" spans="2:5" hidden="1" outlineLevel="4" x14ac:dyDescent="0.2">
      <c r="B72" s="23" t="s">
        <v>170</v>
      </c>
      <c r="C72" s="71" t="s">
        <v>60</v>
      </c>
      <c r="D72" s="46"/>
      <c r="E72" s="56"/>
    </row>
    <row r="73" spans="2:5" hidden="1" outlineLevel="4" x14ac:dyDescent="0.2">
      <c r="B73" s="23" t="s">
        <v>171</v>
      </c>
      <c r="C73" s="71" t="s">
        <v>60</v>
      </c>
      <c r="D73" s="46"/>
      <c r="E73" s="56"/>
    </row>
    <row r="74" spans="2:5" hidden="1" outlineLevel="4" x14ac:dyDescent="0.2">
      <c r="B74" s="23" t="s">
        <v>172</v>
      </c>
      <c r="C74" s="71" t="s">
        <v>60</v>
      </c>
      <c r="D74" s="46"/>
      <c r="E74" s="56"/>
    </row>
    <row r="75" spans="2:5" hidden="1" outlineLevel="4" x14ac:dyDescent="0.2">
      <c r="B75" s="23" t="s">
        <v>173</v>
      </c>
      <c r="C75" s="71" t="s">
        <v>60</v>
      </c>
      <c r="D75" s="46"/>
      <c r="E75" s="56"/>
    </row>
    <row r="76" spans="2:5" hidden="1" outlineLevel="4" x14ac:dyDescent="0.2">
      <c r="B76" s="23" t="s">
        <v>174</v>
      </c>
      <c r="C76" s="71" t="s">
        <v>60</v>
      </c>
      <c r="D76" s="46"/>
      <c r="E76" s="56"/>
    </row>
    <row r="77" spans="2:5" hidden="1" outlineLevel="4" x14ac:dyDescent="0.2">
      <c r="B77" s="23" t="s">
        <v>175</v>
      </c>
      <c r="C77" s="71" t="s">
        <v>60</v>
      </c>
      <c r="D77" s="46"/>
      <c r="E77" s="56"/>
    </row>
    <row r="78" spans="2:5" hidden="1" outlineLevel="4" x14ac:dyDescent="0.2">
      <c r="B78" s="23" t="s">
        <v>176</v>
      </c>
      <c r="C78" s="71" t="s">
        <v>60</v>
      </c>
      <c r="D78" s="46"/>
      <c r="E78" s="56"/>
    </row>
    <row r="79" spans="2:5" hidden="1" outlineLevel="4" x14ac:dyDescent="0.2">
      <c r="B79" s="23" t="s">
        <v>177</v>
      </c>
      <c r="C79" s="71" t="s">
        <v>60</v>
      </c>
      <c r="D79" s="46"/>
      <c r="E79" s="56"/>
    </row>
    <row r="80" spans="2:5" hidden="1" outlineLevel="4" x14ac:dyDescent="0.2">
      <c r="B80" s="24" t="s">
        <v>178</v>
      </c>
      <c r="C80" s="76" t="s">
        <v>60</v>
      </c>
      <c r="D80" s="47"/>
      <c r="E80" s="57"/>
    </row>
    <row r="81" spans="2:5" hidden="1" outlineLevel="3" x14ac:dyDescent="0.2">
      <c r="B81" s="25" t="s">
        <v>57</v>
      </c>
      <c r="C81" s="77" t="s">
        <v>60</v>
      </c>
      <c r="D81" s="48">
        <f>SUM(D68:D80)</f>
        <v>0</v>
      </c>
      <c r="E81" s="55">
        <f>SUM(E68:E80)</f>
        <v>0</v>
      </c>
    </row>
    <row r="82" spans="2:5" hidden="1" outlineLevel="2" x14ac:dyDescent="0.2">
      <c r="B82" s="26" t="s">
        <v>58</v>
      </c>
      <c r="C82" s="77" t="s">
        <v>60</v>
      </c>
      <c r="D82" s="48">
        <f>D67+D81</f>
        <v>0</v>
      </c>
      <c r="E82" s="55">
        <f>E67+E81</f>
        <v>0</v>
      </c>
    </row>
    <row r="83" spans="2:5" collapsed="1" x14ac:dyDescent="0.2">
      <c r="B83" s="136" t="s">
        <v>59</v>
      </c>
      <c r="C83" s="137" t="s">
        <v>60</v>
      </c>
      <c r="D83" s="138">
        <f>D65-D82</f>
        <v>0</v>
      </c>
      <c r="E83" s="109">
        <f>E65+E82</f>
        <v>0</v>
      </c>
    </row>
    <row r="84" spans="2:5" hidden="1" outlineLevel="2" x14ac:dyDescent="0.2">
      <c r="B84" s="27" t="s">
        <v>62</v>
      </c>
      <c r="C84" s="71" t="s">
        <v>60</v>
      </c>
      <c r="D84" s="46"/>
      <c r="E84" s="56"/>
    </row>
    <row r="85" spans="2:5" hidden="1" outlineLevel="2" x14ac:dyDescent="0.2">
      <c r="B85" s="27" t="s">
        <v>63</v>
      </c>
      <c r="C85" s="71" t="s">
        <v>60</v>
      </c>
      <c r="D85" s="46"/>
      <c r="E85" s="56"/>
    </row>
    <row r="86" spans="2:5" hidden="1" outlineLevel="2" x14ac:dyDescent="0.2">
      <c r="B86" s="27" t="s">
        <v>64</v>
      </c>
      <c r="C86" s="71" t="s">
        <v>60</v>
      </c>
      <c r="D86" s="46"/>
      <c r="E86" s="56"/>
    </row>
    <row r="87" spans="2:5" hidden="1" outlineLevel="2" x14ac:dyDescent="0.2">
      <c r="B87" s="27" t="s">
        <v>65</v>
      </c>
      <c r="C87" s="71" t="s">
        <v>60</v>
      </c>
      <c r="D87" s="46"/>
      <c r="E87" s="56"/>
    </row>
    <row r="88" spans="2:5" hidden="1" outlineLevel="2" x14ac:dyDescent="0.2">
      <c r="B88" s="28" t="s">
        <v>66</v>
      </c>
      <c r="C88" s="74" t="s">
        <v>60</v>
      </c>
      <c r="D88" s="49"/>
      <c r="E88" s="58"/>
    </row>
    <row r="89" spans="2:5" hidden="1" outlineLevel="1" x14ac:dyDescent="0.2">
      <c r="B89" s="139" t="s">
        <v>67</v>
      </c>
      <c r="C89" s="140" t="s">
        <v>60</v>
      </c>
      <c r="D89" s="141">
        <f>SUM(D84:D88)</f>
        <v>0</v>
      </c>
      <c r="E89" s="127">
        <f>SUM(E84:E88)</f>
        <v>0</v>
      </c>
    </row>
    <row r="90" spans="2:5" hidden="1" outlineLevel="2" x14ac:dyDescent="0.2">
      <c r="B90" s="27" t="s">
        <v>68</v>
      </c>
      <c r="C90" s="71" t="s">
        <v>60</v>
      </c>
      <c r="D90" s="46"/>
      <c r="E90" s="56"/>
    </row>
    <row r="91" spans="2:5" hidden="1" outlineLevel="2" x14ac:dyDescent="0.2">
      <c r="B91" s="27" t="s">
        <v>69</v>
      </c>
      <c r="C91" s="71" t="s">
        <v>60</v>
      </c>
      <c r="D91" s="46"/>
      <c r="E91" s="56"/>
    </row>
    <row r="92" spans="2:5" hidden="1" outlineLevel="2" x14ac:dyDescent="0.2">
      <c r="B92" s="28" t="s">
        <v>70</v>
      </c>
      <c r="C92" s="74" t="s">
        <v>60</v>
      </c>
      <c r="D92" s="49"/>
      <c r="E92" s="58"/>
    </row>
    <row r="93" spans="2:5" hidden="1" outlineLevel="1" x14ac:dyDescent="0.2">
      <c r="B93" s="139" t="s">
        <v>71</v>
      </c>
      <c r="C93" s="140" t="s">
        <v>60</v>
      </c>
      <c r="D93" s="141">
        <f>SUM(D90:D92)</f>
        <v>0</v>
      </c>
      <c r="E93" s="127">
        <f>SUM(E90:E92)</f>
        <v>0</v>
      </c>
    </row>
    <row r="94" spans="2:5" collapsed="1" x14ac:dyDescent="0.2">
      <c r="B94" s="22" t="s">
        <v>72</v>
      </c>
      <c r="C94" s="77" t="s">
        <v>60</v>
      </c>
      <c r="D94" s="48">
        <f>D89+D93</f>
        <v>0</v>
      </c>
      <c r="E94" s="55">
        <f>E89+E93</f>
        <v>0</v>
      </c>
    </row>
    <row r="95" spans="2:5" x14ac:dyDescent="0.2">
      <c r="B95" s="136" t="s">
        <v>179</v>
      </c>
      <c r="C95" s="137" t="s">
        <v>60</v>
      </c>
      <c r="D95" s="138">
        <f>D83+D94</f>
        <v>0</v>
      </c>
      <c r="E95" s="109">
        <f>E83+E94</f>
        <v>0</v>
      </c>
    </row>
    <row r="96" spans="2:5" hidden="1" outlineLevel="1" x14ac:dyDescent="0.2">
      <c r="B96" s="20" t="s">
        <v>61</v>
      </c>
      <c r="C96" s="77" t="s">
        <v>60</v>
      </c>
      <c r="D96" s="48"/>
      <c r="E96" s="55"/>
    </row>
    <row r="97" spans="1:5" hidden="1" outlineLevel="1" x14ac:dyDescent="0.2">
      <c r="B97" s="20" t="s">
        <v>180</v>
      </c>
      <c r="C97" s="77" t="s">
        <v>60</v>
      </c>
      <c r="D97" s="48"/>
      <c r="E97" s="55"/>
    </row>
    <row r="98" spans="1:5" hidden="1" outlineLevel="1" x14ac:dyDescent="0.2">
      <c r="B98" s="20" t="s">
        <v>181</v>
      </c>
      <c r="C98" s="77" t="s">
        <v>60</v>
      </c>
      <c r="D98" s="48"/>
      <c r="E98" s="55"/>
    </row>
    <row r="99" spans="1:5" collapsed="1" x14ac:dyDescent="0.2">
      <c r="B99" s="22" t="s">
        <v>61</v>
      </c>
      <c r="C99" s="77" t="s">
        <v>60</v>
      </c>
      <c r="D99" s="48">
        <f>SUM(D96:D98)</f>
        <v>0</v>
      </c>
      <c r="E99" s="55">
        <f>SUM(E96:E98)</f>
        <v>0</v>
      </c>
    </row>
    <row r="100" spans="1:5" x14ac:dyDescent="0.2">
      <c r="B100" s="136" t="s">
        <v>73</v>
      </c>
      <c r="C100" s="137" t="s">
        <v>60</v>
      </c>
      <c r="D100" s="138">
        <f>D95+D99</f>
        <v>0</v>
      </c>
      <c r="E100" s="109">
        <f>E95+E99</f>
        <v>0</v>
      </c>
    </row>
    <row r="101" spans="1:5" hidden="1" outlineLevel="1" x14ac:dyDescent="0.2">
      <c r="B101" s="20" t="s">
        <v>182</v>
      </c>
      <c r="C101" s="71" t="s">
        <v>60</v>
      </c>
      <c r="D101" s="46"/>
      <c r="E101" s="53"/>
    </row>
    <row r="102" spans="1:5" hidden="1" outlineLevel="1" x14ac:dyDescent="0.2">
      <c r="B102" s="21" t="s">
        <v>183</v>
      </c>
      <c r="C102" s="76" t="s">
        <v>60</v>
      </c>
      <c r="D102" s="47"/>
      <c r="E102" s="54"/>
    </row>
    <row r="103" spans="1:5" collapsed="1" x14ac:dyDescent="0.2">
      <c r="B103" s="22" t="s">
        <v>75</v>
      </c>
      <c r="C103" s="77" t="s">
        <v>60</v>
      </c>
      <c r="D103" s="48">
        <f>SUM(D101:D102)</f>
        <v>0</v>
      </c>
      <c r="E103" s="55">
        <f>SUM(E101:E102)</f>
        <v>0</v>
      </c>
    </row>
    <row r="104" spans="1:5" x14ac:dyDescent="0.2">
      <c r="B104" s="136" t="s">
        <v>76</v>
      </c>
      <c r="C104" s="137" t="s">
        <v>60</v>
      </c>
      <c r="D104" s="138">
        <f>D100+D103</f>
        <v>0</v>
      </c>
      <c r="E104" s="109">
        <f>E100+E103</f>
        <v>0</v>
      </c>
    </row>
    <row r="105" spans="1:5" x14ac:dyDescent="0.2">
      <c r="B105" s="5"/>
      <c r="C105" s="76"/>
      <c r="D105" s="10"/>
      <c r="E105" s="40"/>
    </row>
    <row r="106" spans="1:5" x14ac:dyDescent="0.2">
      <c r="A106" s="6" t="s">
        <v>191</v>
      </c>
      <c r="B106" s="29"/>
      <c r="C106" s="30"/>
      <c r="D106" s="30"/>
      <c r="E106" s="41"/>
    </row>
    <row r="107" spans="1:5" x14ac:dyDescent="0.2">
      <c r="C107" s="78"/>
      <c r="D107" s="12"/>
      <c r="E107" s="42"/>
    </row>
    <row r="108" spans="1:5" hidden="1" outlineLevel="1" x14ac:dyDescent="0.2">
      <c r="B108" s="31" t="s">
        <v>76</v>
      </c>
      <c r="C108" s="72" t="s">
        <v>60</v>
      </c>
      <c r="D108" s="50">
        <f>D104</f>
        <v>0</v>
      </c>
      <c r="E108" s="66"/>
    </row>
    <row r="109" spans="1:5" hidden="1" outlineLevel="1" x14ac:dyDescent="0.2">
      <c r="B109" s="31" t="s">
        <v>77</v>
      </c>
      <c r="C109" s="72" t="s">
        <v>60</v>
      </c>
      <c r="D109" s="50">
        <f>-D94</f>
        <v>0</v>
      </c>
      <c r="E109" s="66"/>
    </row>
    <row r="110" spans="1:5" hidden="1" outlineLevel="1" x14ac:dyDescent="0.2">
      <c r="B110" s="31" t="s">
        <v>78</v>
      </c>
      <c r="C110" s="72" t="s">
        <v>60</v>
      </c>
      <c r="D110" s="50"/>
      <c r="E110" s="66"/>
    </row>
    <row r="111" spans="1:5" hidden="1" outlineLevel="1" x14ac:dyDescent="0.2">
      <c r="B111" s="31" t="s">
        <v>79</v>
      </c>
      <c r="C111" s="72" t="s">
        <v>60</v>
      </c>
      <c r="D111" s="50">
        <f>-D179</f>
        <v>0</v>
      </c>
      <c r="E111" s="66"/>
    </row>
    <row r="112" spans="1:5" hidden="1" outlineLevel="1" x14ac:dyDescent="0.2">
      <c r="B112" s="31" t="s">
        <v>80</v>
      </c>
      <c r="C112" s="72" t="s">
        <v>60</v>
      </c>
      <c r="D112" s="50"/>
      <c r="E112" s="66"/>
    </row>
    <row r="113" spans="2:5" hidden="1" outlineLevel="1" x14ac:dyDescent="0.2">
      <c r="B113" s="31" t="s">
        <v>81</v>
      </c>
      <c r="C113" s="72" t="s">
        <v>60</v>
      </c>
      <c r="D113" s="50"/>
      <c r="E113" s="66"/>
    </row>
    <row r="114" spans="2:5" hidden="1" outlineLevel="2" x14ac:dyDescent="0.2">
      <c r="B114" s="32" t="s">
        <v>74</v>
      </c>
      <c r="C114" s="72" t="s">
        <v>60</v>
      </c>
      <c r="D114" s="50">
        <f>-D102</f>
        <v>0</v>
      </c>
      <c r="E114" s="66"/>
    </row>
    <row r="115" spans="2:5" hidden="1" outlineLevel="2" x14ac:dyDescent="0.2">
      <c r="B115" s="32" t="s">
        <v>82</v>
      </c>
      <c r="C115" s="72" t="s">
        <v>60</v>
      </c>
      <c r="D115" s="50"/>
      <c r="E115" s="66"/>
    </row>
    <row r="116" spans="2:5" hidden="1" outlineLevel="2" x14ac:dyDescent="0.2">
      <c r="B116" s="32" t="s">
        <v>83</v>
      </c>
      <c r="C116" s="72" t="s">
        <v>60</v>
      </c>
      <c r="D116" s="50"/>
      <c r="E116" s="66"/>
    </row>
    <row r="117" spans="2:5" hidden="1" outlineLevel="2" x14ac:dyDescent="0.2">
      <c r="B117" s="32" t="s">
        <v>84</v>
      </c>
      <c r="C117" s="72" t="s">
        <v>60</v>
      </c>
      <c r="D117" s="50"/>
      <c r="E117" s="66"/>
    </row>
    <row r="118" spans="2:5" hidden="1" outlineLevel="1" x14ac:dyDescent="0.2">
      <c r="B118" s="31" t="s">
        <v>85</v>
      </c>
      <c r="C118" s="72" t="s">
        <v>60</v>
      </c>
      <c r="D118" s="50">
        <f>SUM(D114:D117)</f>
        <v>0</v>
      </c>
      <c r="E118" s="66"/>
    </row>
    <row r="119" spans="2:5" collapsed="1" x14ac:dyDescent="0.2">
      <c r="B119" s="129" t="s">
        <v>86</v>
      </c>
      <c r="C119" s="130" t="s">
        <v>60</v>
      </c>
      <c r="D119" s="131">
        <f>SUM(D108:D113,D118)</f>
        <v>0</v>
      </c>
      <c r="E119" s="132"/>
    </row>
    <row r="120" spans="2:5" x14ac:dyDescent="0.2">
      <c r="C120" s="72"/>
      <c r="D120" s="12"/>
      <c r="E120" s="43"/>
    </row>
    <row r="121" spans="2:5" hidden="1" outlineLevel="1" x14ac:dyDescent="0.2">
      <c r="B121" s="31" t="s">
        <v>87</v>
      </c>
      <c r="C121" s="72" t="s">
        <v>60</v>
      </c>
      <c r="D121" s="50">
        <f>D188</f>
        <v>0</v>
      </c>
      <c r="E121" s="66"/>
    </row>
    <row r="122" spans="2:5" hidden="1" outlineLevel="1" x14ac:dyDescent="0.2">
      <c r="B122" s="31" t="s">
        <v>88</v>
      </c>
      <c r="C122" s="72" t="s">
        <v>60</v>
      </c>
      <c r="D122" s="50"/>
      <c r="E122" s="66"/>
    </row>
    <row r="123" spans="2:5" hidden="1" outlineLevel="1" x14ac:dyDescent="0.2">
      <c r="B123" s="31" t="s">
        <v>89</v>
      </c>
      <c r="C123" s="72" t="s">
        <v>60</v>
      </c>
      <c r="D123" s="50"/>
      <c r="E123" s="66"/>
    </row>
    <row r="124" spans="2:5" hidden="1" outlineLevel="1" x14ac:dyDescent="0.2">
      <c r="B124" s="31" t="s">
        <v>90</v>
      </c>
      <c r="C124" s="72" t="s">
        <v>60</v>
      </c>
      <c r="D124" s="50"/>
      <c r="E124" s="66"/>
    </row>
    <row r="125" spans="2:5" collapsed="1" x14ac:dyDescent="0.2">
      <c r="B125" s="129" t="s">
        <v>91</v>
      </c>
      <c r="C125" s="130" t="s">
        <v>60</v>
      </c>
      <c r="D125" s="131">
        <f>-SUM(D121:D124)</f>
        <v>0</v>
      </c>
      <c r="E125" s="132"/>
    </row>
    <row r="126" spans="2:5" x14ac:dyDescent="0.2">
      <c r="C126" s="72"/>
      <c r="D126" s="12"/>
      <c r="E126" s="42"/>
    </row>
    <row r="127" spans="2:5" hidden="1" outlineLevel="1" x14ac:dyDescent="0.2">
      <c r="B127" s="31" t="s">
        <v>92</v>
      </c>
      <c r="C127" s="72" t="s">
        <v>60</v>
      </c>
      <c r="D127" s="50"/>
      <c r="E127" s="66"/>
    </row>
    <row r="128" spans="2:5" hidden="1" outlineLevel="1" x14ac:dyDescent="0.2">
      <c r="B128" s="31" t="s">
        <v>93</v>
      </c>
      <c r="C128" s="72" t="s">
        <v>60</v>
      </c>
      <c r="D128" s="50"/>
      <c r="E128" s="66"/>
    </row>
    <row r="129" spans="1:5" hidden="1" outlineLevel="1" x14ac:dyDescent="0.2">
      <c r="B129" s="31" t="s">
        <v>94</v>
      </c>
      <c r="C129" s="72" t="s">
        <v>60</v>
      </c>
      <c r="D129" s="50"/>
      <c r="E129" s="66"/>
    </row>
    <row r="130" spans="1:5" hidden="1" outlineLevel="1" x14ac:dyDescent="0.2">
      <c r="B130" s="31" t="s">
        <v>95</v>
      </c>
      <c r="C130" s="72" t="s">
        <v>60</v>
      </c>
      <c r="D130" s="50"/>
      <c r="E130" s="66"/>
    </row>
    <row r="131" spans="1:5" hidden="1" outlineLevel="1" x14ac:dyDescent="0.2">
      <c r="B131" s="31" t="s">
        <v>96</v>
      </c>
      <c r="C131" s="72" t="s">
        <v>60</v>
      </c>
      <c r="D131" s="50"/>
      <c r="E131" s="66"/>
    </row>
    <row r="132" spans="1:5" hidden="1" outlineLevel="1" x14ac:dyDescent="0.2">
      <c r="B132" s="31" t="s">
        <v>97</v>
      </c>
      <c r="C132" s="72" t="s">
        <v>60</v>
      </c>
      <c r="D132" s="50"/>
      <c r="E132" s="66"/>
    </row>
    <row r="133" spans="1:5" hidden="1" outlineLevel="1" x14ac:dyDescent="0.2">
      <c r="B133" s="31" t="s">
        <v>98</v>
      </c>
      <c r="C133" s="72" t="s">
        <v>60</v>
      </c>
      <c r="D133" s="50"/>
      <c r="E133" s="66"/>
    </row>
    <row r="134" spans="1:5" hidden="1" outlineLevel="1" x14ac:dyDescent="0.2">
      <c r="B134" s="31" t="s">
        <v>99</v>
      </c>
      <c r="C134" s="72" t="s">
        <v>60</v>
      </c>
      <c r="D134" s="50"/>
      <c r="E134" s="66"/>
    </row>
    <row r="135" spans="1:5" hidden="1" outlineLevel="1" x14ac:dyDescent="0.2">
      <c r="B135" s="31" t="s">
        <v>100</v>
      </c>
      <c r="C135" s="72" t="s">
        <v>60</v>
      </c>
      <c r="D135" s="50"/>
      <c r="E135" s="66"/>
    </row>
    <row r="136" spans="1:5" hidden="1" outlineLevel="1" x14ac:dyDescent="0.2">
      <c r="B136" s="31" t="s">
        <v>101</v>
      </c>
      <c r="C136" s="72" t="s">
        <v>60</v>
      </c>
      <c r="D136" s="50"/>
      <c r="E136" s="66"/>
    </row>
    <row r="137" spans="1:5" hidden="1" outlineLevel="1" x14ac:dyDescent="0.2">
      <c r="B137" s="31" t="s">
        <v>53</v>
      </c>
      <c r="C137" s="72" t="s">
        <v>60</v>
      </c>
      <c r="D137" s="50"/>
      <c r="E137" s="66"/>
    </row>
    <row r="138" spans="1:5" collapsed="1" x14ac:dyDescent="0.2">
      <c r="B138" s="129" t="s">
        <v>102</v>
      </c>
      <c r="C138" s="130" t="s">
        <v>60</v>
      </c>
      <c r="D138" s="131">
        <f>SUM(D127:D137)</f>
        <v>0</v>
      </c>
      <c r="E138" s="132"/>
    </row>
    <row r="139" spans="1:5" x14ac:dyDescent="0.2">
      <c r="C139" s="72"/>
      <c r="D139" s="12"/>
      <c r="E139" s="42"/>
    </row>
    <row r="140" spans="1:5" x14ac:dyDescent="0.2">
      <c r="B140" s="33" t="s">
        <v>103</v>
      </c>
      <c r="C140" s="79" t="s">
        <v>60</v>
      </c>
      <c r="D140" s="51">
        <f>D119+D125+D138</f>
        <v>0</v>
      </c>
      <c r="E140" s="114"/>
    </row>
    <row r="141" spans="1:5" x14ac:dyDescent="0.2">
      <c r="C141" s="80"/>
      <c r="D141" s="12"/>
      <c r="E141" s="42"/>
    </row>
    <row r="142" spans="1:5" x14ac:dyDescent="0.2">
      <c r="A142" s="6" t="s">
        <v>190</v>
      </c>
      <c r="B142" s="29"/>
      <c r="C142" s="30"/>
      <c r="D142" s="30"/>
      <c r="E142" s="41"/>
    </row>
    <row r="143" spans="1:5" x14ac:dyDescent="0.2">
      <c r="C143" s="78"/>
      <c r="D143" s="12"/>
      <c r="E143" s="42"/>
    </row>
    <row r="144" spans="1:5" hidden="1" outlineLevel="3" x14ac:dyDescent="0.2">
      <c r="B144" s="95" t="s">
        <v>114</v>
      </c>
      <c r="C144" s="72" t="s">
        <v>60</v>
      </c>
      <c r="D144" s="50"/>
      <c r="E144" s="67"/>
    </row>
    <row r="145" spans="2:5" hidden="1" outlineLevel="3" x14ac:dyDescent="0.2">
      <c r="B145" s="95" t="s">
        <v>115</v>
      </c>
      <c r="C145" s="72" t="s">
        <v>60</v>
      </c>
      <c r="D145" s="50"/>
      <c r="E145" s="67"/>
    </row>
    <row r="146" spans="2:5" hidden="1" outlineLevel="3" x14ac:dyDescent="0.2">
      <c r="B146" s="16" t="s">
        <v>116</v>
      </c>
      <c r="C146" s="73" t="s">
        <v>60</v>
      </c>
      <c r="D146" s="52"/>
      <c r="E146" s="67"/>
    </row>
    <row r="147" spans="2:5" hidden="1" outlineLevel="2" x14ac:dyDescent="0.2">
      <c r="B147" s="90" t="s">
        <v>117</v>
      </c>
      <c r="C147" s="72" t="s">
        <v>60</v>
      </c>
      <c r="D147" s="50">
        <f>SUM(D144:D146)</f>
        <v>0</v>
      </c>
      <c r="E147" s="67"/>
    </row>
    <row r="148" spans="2:5" hidden="1" outlineLevel="4" x14ac:dyDescent="0.2">
      <c r="B148" s="87" t="s">
        <v>39</v>
      </c>
      <c r="C148" s="72" t="s">
        <v>60</v>
      </c>
      <c r="D148" s="69"/>
      <c r="E148" s="67"/>
    </row>
    <row r="149" spans="2:5" hidden="1" outlineLevel="4" x14ac:dyDescent="0.2">
      <c r="B149" s="87" t="s">
        <v>186</v>
      </c>
      <c r="C149" s="72" t="s">
        <v>60</v>
      </c>
      <c r="D149" s="69"/>
      <c r="E149" s="67"/>
    </row>
    <row r="150" spans="2:5" hidden="1" outlineLevel="4" x14ac:dyDescent="0.2">
      <c r="B150" s="88" t="s">
        <v>40</v>
      </c>
      <c r="C150" s="73" t="s">
        <v>60</v>
      </c>
      <c r="D150" s="70"/>
      <c r="E150" s="67"/>
    </row>
    <row r="151" spans="2:5" hidden="1" outlineLevel="3" x14ac:dyDescent="0.2">
      <c r="B151" s="31" t="s">
        <v>118</v>
      </c>
      <c r="C151" s="72" t="s">
        <v>60</v>
      </c>
      <c r="D151" s="69">
        <f>SUM(D148:D150)</f>
        <v>0</v>
      </c>
      <c r="E151" s="67"/>
    </row>
    <row r="152" spans="2:5" hidden="1" outlineLevel="3" x14ac:dyDescent="0.2">
      <c r="B152" s="31" t="s">
        <v>119</v>
      </c>
      <c r="C152" s="72" t="s">
        <v>60</v>
      </c>
      <c r="D152" s="69"/>
      <c r="E152" s="67"/>
    </row>
    <row r="153" spans="2:5" hidden="1" outlineLevel="3" x14ac:dyDescent="0.2">
      <c r="B153" s="89" t="s">
        <v>120</v>
      </c>
      <c r="C153" s="73" t="s">
        <v>60</v>
      </c>
      <c r="D153" s="70"/>
      <c r="E153" s="67"/>
    </row>
    <row r="154" spans="2:5" hidden="1" outlineLevel="2" x14ac:dyDescent="0.2">
      <c r="B154" s="1" t="s">
        <v>187</v>
      </c>
      <c r="C154" s="72" t="s">
        <v>60</v>
      </c>
      <c r="D154" s="50">
        <f>SUM(D151:D153)</f>
        <v>0</v>
      </c>
      <c r="E154" s="67"/>
    </row>
    <row r="155" spans="2:5" hidden="1" outlineLevel="3" x14ac:dyDescent="0.2">
      <c r="B155" s="95" t="s">
        <v>122</v>
      </c>
      <c r="C155" s="72" t="s">
        <v>60</v>
      </c>
      <c r="D155" s="50"/>
      <c r="E155" s="67"/>
    </row>
    <row r="156" spans="2:5" hidden="1" outlineLevel="3" x14ac:dyDescent="0.2">
      <c r="B156" s="96" t="s">
        <v>123</v>
      </c>
      <c r="C156" s="91" t="s">
        <v>60</v>
      </c>
      <c r="D156" s="92"/>
      <c r="E156" s="67"/>
    </row>
    <row r="157" spans="2:5" hidden="1" outlineLevel="2" x14ac:dyDescent="0.2">
      <c r="B157" s="1" t="s">
        <v>123</v>
      </c>
      <c r="C157" s="72" t="s">
        <v>60</v>
      </c>
      <c r="D157" s="50">
        <f>SUM(D155:D156)</f>
        <v>0</v>
      </c>
      <c r="E157" s="67"/>
    </row>
    <row r="158" spans="2:5" hidden="1" outlineLevel="2" x14ac:dyDescent="0.2">
      <c r="B158" s="1" t="s">
        <v>124</v>
      </c>
      <c r="C158" s="72" t="s">
        <v>60</v>
      </c>
      <c r="D158" s="50"/>
      <c r="E158" s="67"/>
    </row>
    <row r="159" spans="2:5" hidden="1" outlineLevel="2" x14ac:dyDescent="0.2">
      <c r="B159" s="1" t="s">
        <v>125</v>
      </c>
      <c r="C159" s="72" t="s">
        <v>60</v>
      </c>
      <c r="D159" s="50"/>
      <c r="E159" s="67"/>
    </row>
    <row r="160" spans="2:5" hidden="1" outlineLevel="2" x14ac:dyDescent="0.2">
      <c r="B160" s="1" t="s">
        <v>126</v>
      </c>
      <c r="C160" s="72" t="s">
        <v>60</v>
      </c>
      <c r="D160" s="50"/>
      <c r="E160" s="67"/>
    </row>
    <row r="161" spans="2:5" hidden="1" outlineLevel="1" x14ac:dyDescent="0.2">
      <c r="B161" s="33" t="s">
        <v>193</v>
      </c>
      <c r="C161" s="79" t="s">
        <v>60</v>
      </c>
      <c r="D161" s="51">
        <f>SUM(D147,D154,D157,D158:D160)</f>
        <v>0</v>
      </c>
      <c r="E161" s="128"/>
    </row>
    <row r="162" spans="2:5" hidden="1" outlineLevel="1" x14ac:dyDescent="0.2">
      <c r="C162" s="72"/>
      <c r="D162" s="12"/>
      <c r="E162" s="42"/>
    </row>
    <row r="163" spans="2:5" hidden="1" outlineLevel="3" x14ac:dyDescent="0.2">
      <c r="B163" s="95" t="s">
        <v>141</v>
      </c>
      <c r="C163" s="72" t="s">
        <v>60</v>
      </c>
      <c r="D163" s="12"/>
      <c r="E163" s="67"/>
    </row>
    <row r="164" spans="2:5" hidden="1" outlineLevel="3" x14ac:dyDescent="0.2">
      <c r="B164" s="16" t="s">
        <v>142</v>
      </c>
      <c r="C164" s="73" t="s">
        <v>60</v>
      </c>
      <c r="D164" s="73"/>
      <c r="E164" s="67"/>
    </row>
    <row r="165" spans="2:5" hidden="1" outlineLevel="2" x14ac:dyDescent="0.2">
      <c r="B165" s="1" t="s">
        <v>143</v>
      </c>
      <c r="C165" s="72" t="s">
        <v>60</v>
      </c>
      <c r="D165" s="50">
        <f>SUM(D163:D164)</f>
        <v>0</v>
      </c>
      <c r="E165" s="67"/>
    </row>
    <row r="166" spans="2:5" hidden="1" outlineLevel="4" x14ac:dyDescent="0.2">
      <c r="B166" s="87" t="s">
        <v>44</v>
      </c>
      <c r="C166" s="72" t="s">
        <v>60</v>
      </c>
      <c r="D166" s="69"/>
      <c r="E166" s="67"/>
    </row>
    <row r="167" spans="2:5" hidden="1" outlineLevel="4" x14ac:dyDescent="0.2">
      <c r="B167" s="88" t="s">
        <v>41</v>
      </c>
      <c r="C167" s="73" t="s">
        <v>60</v>
      </c>
      <c r="D167" s="70"/>
      <c r="E167" s="93"/>
    </row>
    <row r="168" spans="2:5" hidden="1" outlineLevel="3" x14ac:dyDescent="0.2">
      <c r="B168" s="31" t="s">
        <v>144</v>
      </c>
      <c r="C168" s="72" t="s">
        <v>60</v>
      </c>
      <c r="D168" s="50">
        <f>SUM(D166:D167)</f>
        <v>0</v>
      </c>
      <c r="E168" s="67"/>
    </row>
    <row r="169" spans="2:5" hidden="1" outlineLevel="3" x14ac:dyDescent="0.2">
      <c r="B169" s="31" t="s">
        <v>145</v>
      </c>
      <c r="C169" s="72" t="s">
        <v>60</v>
      </c>
      <c r="D169" s="50"/>
      <c r="E169" s="67"/>
    </row>
    <row r="170" spans="2:5" hidden="1" outlineLevel="3" x14ac:dyDescent="0.2">
      <c r="B170" s="89" t="s">
        <v>146</v>
      </c>
      <c r="C170" s="73" t="s">
        <v>60</v>
      </c>
      <c r="D170" s="94"/>
      <c r="E170" s="67"/>
    </row>
    <row r="171" spans="2:5" hidden="1" outlineLevel="2" x14ac:dyDescent="0.2">
      <c r="B171" s="1" t="s">
        <v>188</v>
      </c>
      <c r="C171" s="72" t="s">
        <v>60</v>
      </c>
      <c r="D171" s="50">
        <f>SUM(D168:D170)</f>
        <v>0</v>
      </c>
      <c r="E171" s="67"/>
    </row>
    <row r="172" spans="2:5" hidden="1" outlineLevel="2" x14ac:dyDescent="0.2">
      <c r="B172" s="1" t="s">
        <v>148</v>
      </c>
      <c r="C172" s="72" t="s">
        <v>60</v>
      </c>
      <c r="D172" s="50"/>
      <c r="E172" s="67"/>
    </row>
    <row r="173" spans="2:5" hidden="1" outlineLevel="2" x14ac:dyDescent="0.2">
      <c r="B173" s="1" t="s">
        <v>149</v>
      </c>
      <c r="C173" s="72" t="s">
        <v>60</v>
      </c>
      <c r="D173" s="50"/>
      <c r="E173" s="67"/>
    </row>
    <row r="174" spans="2:5" hidden="1" outlineLevel="2" x14ac:dyDescent="0.2">
      <c r="B174" s="1" t="s">
        <v>150</v>
      </c>
      <c r="C174" s="72" t="s">
        <v>60</v>
      </c>
      <c r="D174" s="50"/>
      <c r="E174" s="67"/>
    </row>
    <row r="175" spans="2:5" hidden="1" outlineLevel="2" x14ac:dyDescent="0.2">
      <c r="B175" s="1" t="s">
        <v>151</v>
      </c>
      <c r="C175" s="72" t="s">
        <v>60</v>
      </c>
      <c r="D175" s="50"/>
      <c r="E175" s="67"/>
    </row>
    <row r="176" spans="2:5" hidden="1" outlineLevel="2" x14ac:dyDescent="0.2">
      <c r="B176" s="1" t="s">
        <v>152</v>
      </c>
      <c r="C176" s="72" t="s">
        <v>60</v>
      </c>
      <c r="D176" s="50"/>
      <c r="E176" s="67"/>
    </row>
    <row r="177" spans="1:5" hidden="1" outlineLevel="1" x14ac:dyDescent="0.2">
      <c r="B177" s="33" t="s">
        <v>194</v>
      </c>
      <c r="C177" s="79" t="s">
        <v>60</v>
      </c>
      <c r="D177" s="51">
        <f>SUM(D165,D171,D172:D176)</f>
        <v>0</v>
      </c>
      <c r="E177" s="128"/>
    </row>
    <row r="178" spans="1:5" hidden="1" outlineLevel="1" x14ac:dyDescent="0.2">
      <c r="C178" s="72"/>
      <c r="D178" s="12"/>
      <c r="E178" s="42"/>
    </row>
    <row r="179" spans="1:5" collapsed="1" x14ac:dyDescent="0.2">
      <c r="B179" s="33" t="s">
        <v>184</v>
      </c>
      <c r="C179" s="133" t="s">
        <v>60</v>
      </c>
      <c r="D179" s="51">
        <f>D161-D177</f>
        <v>0</v>
      </c>
      <c r="E179" s="134"/>
    </row>
    <row r="180" spans="1:5" x14ac:dyDescent="0.2">
      <c r="C180" s="72"/>
      <c r="D180" s="12"/>
      <c r="E180" s="42"/>
    </row>
    <row r="181" spans="1:5" x14ac:dyDescent="0.2">
      <c r="B181" s="33" t="s">
        <v>192</v>
      </c>
      <c r="C181" s="133" t="s">
        <v>60</v>
      </c>
      <c r="D181" s="51" t="e">
        <f>D221-D257</f>
        <v>#VALUE!</v>
      </c>
      <c r="E181" s="134"/>
    </row>
    <row r="182" spans="1:5" x14ac:dyDescent="0.2">
      <c r="C182" s="84"/>
      <c r="D182" s="85"/>
      <c r="E182" s="86"/>
    </row>
    <row r="183" spans="1:5" x14ac:dyDescent="0.2">
      <c r="A183" s="6" t="s">
        <v>87</v>
      </c>
      <c r="B183" s="29"/>
      <c r="C183" s="30"/>
      <c r="D183" s="30"/>
      <c r="E183" s="41"/>
    </row>
    <row r="184" spans="1:5" x14ac:dyDescent="0.2">
      <c r="C184" s="78"/>
      <c r="D184" s="12"/>
      <c r="E184" s="42"/>
    </row>
    <row r="185" spans="1:5" hidden="1" outlineLevel="1" x14ac:dyDescent="0.2">
      <c r="B185" s="34" t="s">
        <v>104</v>
      </c>
      <c r="C185" s="83"/>
      <c r="D185" s="35"/>
      <c r="E185" s="105"/>
    </row>
    <row r="186" spans="1:5" hidden="1" outlineLevel="1" x14ac:dyDescent="0.2">
      <c r="C186" s="81"/>
      <c r="D186" s="50"/>
      <c r="E186" s="68"/>
    </row>
    <row r="187" spans="1:5" hidden="1" outlineLevel="1" x14ac:dyDescent="0.2">
      <c r="C187" s="82"/>
      <c r="D187" s="50"/>
      <c r="E187" s="68"/>
    </row>
    <row r="188" spans="1:5" collapsed="1" x14ac:dyDescent="0.2">
      <c r="B188" s="33" t="s">
        <v>105</v>
      </c>
      <c r="C188" s="135" t="s">
        <v>60</v>
      </c>
      <c r="D188" s="51">
        <f>SUM(D186:D187)</f>
        <v>0</v>
      </c>
      <c r="E188" s="128"/>
    </row>
    <row r="189" spans="1:5" x14ac:dyDescent="0.2">
      <c r="C189" s="80"/>
      <c r="D189" s="12"/>
      <c r="E189" s="42"/>
    </row>
    <row r="190" spans="1:5" x14ac:dyDescent="0.2">
      <c r="A190" s="6" t="s">
        <v>106</v>
      </c>
      <c r="B190" s="7"/>
      <c r="C190" s="8"/>
      <c r="D190" s="8"/>
      <c r="E190" s="39"/>
    </row>
    <row r="191" spans="1:5" x14ac:dyDescent="0.2">
      <c r="B191" s="5"/>
      <c r="C191" s="75"/>
      <c r="D191" s="10"/>
      <c r="E191" s="40"/>
    </row>
    <row r="192" spans="1:5" hidden="1" outlineLevel="2" x14ac:dyDescent="0.2">
      <c r="B192" s="9" t="s">
        <v>107</v>
      </c>
      <c r="C192" s="71" t="s">
        <v>60</v>
      </c>
      <c r="D192" s="46" t="e">
        <f>C192+D94+D188</f>
        <v>#VALUE!</v>
      </c>
      <c r="E192" s="53"/>
    </row>
    <row r="193" spans="2:5" hidden="1" outlineLevel="2" x14ac:dyDescent="0.2">
      <c r="B193" s="9" t="s">
        <v>108</v>
      </c>
      <c r="C193" s="71" t="s">
        <v>60</v>
      </c>
      <c r="D193" s="46" t="str">
        <f>C193</f>
        <v>€</v>
      </c>
      <c r="E193" s="53"/>
    </row>
    <row r="194" spans="2:5" hidden="1" outlineLevel="2" x14ac:dyDescent="0.2">
      <c r="B194" s="31" t="s">
        <v>90</v>
      </c>
      <c r="C194" s="72" t="s">
        <v>60</v>
      </c>
      <c r="D194" s="50" t="str">
        <f t="shared" ref="D194:D200" si="0">C194</f>
        <v>€</v>
      </c>
      <c r="E194" s="59"/>
    </row>
    <row r="195" spans="2:5" hidden="1" outlineLevel="3" x14ac:dyDescent="0.2">
      <c r="B195" s="87" t="s">
        <v>109</v>
      </c>
      <c r="C195" s="72" t="s">
        <v>60</v>
      </c>
      <c r="D195" s="50" t="str">
        <f t="shared" si="0"/>
        <v>€</v>
      </c>
      <c r="E195" s="59"/>
    </row>
    <row r="196" spans="2:5" hidden="1" outlineLevel="3" x14ac:dyDescent="0.2">
      <c r="B196" s="87" t="s">
        <v>110</v>
      </c>
      <c r="C196" s="72" t="s">
        <v>60</v>
      </c>
      <c r="D196" s="50" t="str">
        <f t="shared" si="0"/>
        <v>€</v>
      </c>
      <c r="E196" s="59"/>
    </row>
    <row r="197" spans="2:5" hidden="1" outlineLevel="3" x14ac:dyDescent="0.2">
      <c r="B197" s="88" t="s">
        <v>111</v>
      </c>
      <c r="C197" s="73" t="s">
        <v>60</v>
      </c>
      <c r="D197" s="52" t="str">
        <f t="shared" si="0"/>
        <v>€</v>
      </c>
      <c r="E197" s="60"/>
    </row>
    <row r="198" spans="2:5" hidden="1" outlineLevel="2" x14ac:dyDescent="0.2">
      <c r="B198" s="31" t="s">
        <v>111</v>
      </c>
      <c r="C198" s="72" t="s">
        <v>60</v>
      </c>
      <c r="D198" s="50">
        <f>SUM(D195:D197)</f>
        <v>0</v>
      </c>
      <c r="E198" s="59">
        <f>SUM(E195:E197)</f>
        <v>0</v>
      </c>
    </row>
    <row r="199" spans="2:5" hidden="1" outlineLevel="2" x14ac:dyDescent="0.2">
      <c r="B199" s="31" t="s">
        <v>112</v>
      </c>
      <c r="C199" s="72" t="s">
        <v>60</v>
      </c>
      <c r="D199" s="50" t="e">
        <f>C199-D114</f>
        <v>#VALUE!</v>
      </c>
      <c r="E199" s="59"/>
    </row>
    <row r="200" spans="2:5" hidden="1" outlineLevel="2" x14ac:dyDescent="0.2">
      <c r="B200" s="31" t="s">
        <v>113</v>
      </c>
      <c r="C200" s="72" t="s">
        <v>60</v>
      </c>
      <c r="D200" s="50" t="str">
        <f t="shared" si="0"/>
        <v>€</v>
      </c>
      <c r="E200" s="59"/>
    </row>
    <row r="201" spans="2:5" hidden="1" outlineLevel="1" x14ac:dyDescent="0.2">
      <c r="B201" s="129" t="s">
        <v>195</v>
      </c>
      <c r="C201" s="130" t="s">
        <v>60</v>
      </c>
      <c r="D201" s="131" t="e">
        <f>SUM(D192:D194,D198,D199:D200)</f>
        <v>#VALUE!</v>
      </c>
      <c r="E201" s="107">
        <f>SUM(E192:E194,E198,E199:E200)</f>
        <v>0</v>
      </c>
    </row>
    <row r="202" spans="2:5" s="45" customFormat="1" hidden="1" outlineLevel="1" x14ac:dyDescent="0.2">
      <c r="B202" s="99"/>
      <c r="C202" s="100"/>
      <c r="D202" s="101"/>
      <c r="E202" s="102"/>
    </row>
    <row r="203" spans="2:5" hidden="1" outlineLevel="3" x14ac:dyDescent="0.2">
      <c r="B203" s="87" t="s">
        <v>114</v>
      </c>
      <c r="C203" s="72" t="s">
        <v>60</v>
      </c>
      <c r="D203" s="50" t="e">
        <f>C203+D144</f>
        <v>#VALUE!</v>
      </c>
      <c r="E203" s="59"/>
    </row>
    <row r="204" spans="2:5" hidden="1" outlineLevel="3" x14ac:dyDescent="0.2">
      <c r="B204" s="87" t="s">
        <v>115</v>
      </c>
      <c r="C204" s="72" t="s">
        <v>60</v>
      </c>
      <c r="D204" s="50" t="e">
        <f t="shared" ref="D204:D205" si="1">C204+D145</f>
        <v>#VALUE!</v>
      </c>
      <c r="E204" s="59"/>
    </row>
    <row r="205" spans="2:5" hidden="1" outlineLevel="3" x14ac:dyDescent="0.2">
      <c r="B205" s="88" t="s">
        <v>116</v>
      </c>
      <c r="C205" s="73" t="s">
        <v>60</v>
      </c>
      <c r="D205" s="52" t="e">
        <f t="shared" si="1"/>
        <v>#VALUE!</v>
      </c>
      <c r="E205" s="60"/>
    </row>
    <row r="206" spans="2:5" hidden="1" outlineLevel="2" x14ac:dyDescent="0.2">
      <c r="B206" s="31" t="s">
        <v>117</v>
      </c>
      <c r="C206" s="72" t="s">
        <v>60</v>
      </c>
      <c r="D206" s="50" t="e">
        <f>SUM(D203:D205)</f>
        <v>#VALUE!</v>
      </c>
      <c r="E206" s="59">
        <f>SUM(E203:E205)</f>
        <v>0</v>
      </c>
    </row>
    <row r="207" spans="2:5" hidden="1" outlineLevel="4" x14ac:dyDescent="0.2">
      <c r="B207" s="97" t="s">
        <v>39</v>
      </c>
      <c r="C207" s="72" t="s">
        <v>60</v>
      </c>
      <c r="D207" s="69" t="e">
        <f>C207+D148</f>
        <v>#VALUE!</v>
      </c>
      <c r="E207" s="59"/>
    </row>
    <row r="208" spans="2:5" hidden="1" outlineLevel="4" x14ac:dyDescent="0.2">
      <c r="B208" s="97" t="s">
        <v>186</v>
      </c>
      <c r="C208" s="72" t="s">
        <v>60</v>
      </c>
      <c r="D208" s="69" t="e">
        <f t="shared" ref="D208:D209" si="2">C208+D149</f>
        <v>#VALUE!</v>
      </c>
      <c r="E208" s="59"/>
    </row>
    <row r="209" spans="2:5" hidden="1" outlineLevel="4" x14ac:dyDescent="0.2">
      <c r="B209" s="98" t="s">
        <v>40</v>
      </c>
      <c r="C209" s="73" t="s">
        <v>60</v>
      </c>
      <c r="D209" s="70" t="e">
        <f t="shared" si="2"/>
        <v>#VALUE!</v>
      </c>
      <c r="E209" s="106"/>
    </row>
    <row r="210" spans="2:5" hidden="1" outlineLevel="3" x14ac:dyDescent="0.2">
      <c r="B210" s="32" t="s">
        <v>118</v>
      </c>
      <c r="C210" s="72" t="s">
        <v>60</v>
      </c>
      <c r="D210" s="50" t="e">
        <f>C210+D151</f>
        <v>#VALUE!</v>
      </c>
      <c r="E210" s="59"/>
    </row>
    <row r="211" spans="2:5" hidden="1" outlineLevel="3" x14ac:dyDescent="0.2">
      <c r="B211" s="32" t="s">
        <v>119</v>
      </c>
      <c r="C211" s="72" t="s">
        <v>60</v>
      </c>
      <c r="D211" s="50" t="e">
        <f>C211+D152</f>
        <v>#VALUE!</v>
      </c>
      <c r="E211" s="59"/>
    </row>
    <row r="212" spans="2:5" hidden="1" outlineLevel="3" x14ac:dyDescent="0.2">
      <c r="B212" s="36" t="s">
        <v>120</v>
      </c>
      <c r="C212" s="73" t="s">
        <v>60</v>
      </c>
      <c r="D212" s="52" t="e">
        <f>C212+D153</f>
        <v>#VALUE!</v>
      </c>
      <c r="E212" s="60"/>
    </row>
    <row r="213" spans="2:5" hidden="1" outlineLevel="2" x14ac:dyDescent="0.2">
      <c r="B213" s="31" t="s">
        <v>121</v>
      </c>
      <c r="C213" s="72" t="s">
        <v>60</v>
      </c>
      <c r="D213" s="50" t="e">
        <f>SUM(D210:D212)</f>
        <v>#VALUE!</v>
      </c>
      <c r="E213" s="59">
        <f>SUM(E210:E212)</f>
        <v>0</v>
      </c>
    </row>
    <row r="214" spans="2:5" hidden="1" outlineLevel="3" x14ac:dyDescent="0.2">
      <c r="B214" s="87" t="s">
        <v>122</v>
      </c>
      <c r="C214" s="72" t="s">
        <v>60</v>
      </c>
      <c r="D214" s="50" t="e">
        <f>C214+D155</f>
        <v>#VALUE!</v>
      </c>
      <c r="E214" s="59"/>
    </row>
    <row r="215" spans="2:5" hidden="1" outlineLevel="3" x14ac:dyDescent="0.2">
      <c r="B215" s="88" t="s">
        <v>123</v>
      </c>
      <c r="C215" s="73" t="s">
        <v>60</v>
      </c>
      <c r="D215" s="52" t="e">
        <f>C215+D156</f>
        <v>#VALUE!</v>
      </c>
      <c r="E215" s="60"/>
    </row>
    <row r="216" spans="2:5" hidden="1" outlineLevel="2" x14ac:dyDescent="0.2">
      <c r="B216" s="31" t="s">
        <v>123</v>
      </c>
      <c r="C216" s="72" t="s">
        <v>60</v>
      </c>
      <c r="D216" s="50" t="e">
        <f>SUM(D214:D215)</f>
        <v>#VALUE!</v>
      </c>
      <c r="E216" s="59">
        <f>SUM(E214:E215)</f>
        <v>0</v>
      </c>
    </row>
    <row r="217" spans="2:5" hidden="1" outlineLevel="2" x14ac:dyDescent="0.2">
      <c r="B217" s="31" t="s">
        <v>124</v>
      </c>
      <c r="C217" s="72" t="s">
        <v>60</v>
      </c>
      <c r="D217" s="50" t="e">
        <f>C217+D158</f>
        <v>#VALUE!</v>
      </c>
      <c r="E217" s="59"/>
    </row>
    <row r="218" spans="2:5" hidden="1" outlineLevel="2" x14ac:dyDescent="0.2">
      <c r="B218" s="31" t="s">
        <v>125</v>
      </c>
      <c r="C218" s="72" t="s">
        <v>60</v>
      </c>
      <c r="D218" s="50" t="e">
        <f t="shared" ref="D218:D219" si="3">C218+D159</f>
        <v>#VALUE!</v>
      </c>
      <c r="E218" s="59"/>
    </row>
    <row r="219" spans="2:5" hidden="1" outlineLevel="2" x14ac:dyDescent="0.2">
      <c r="B219" s="31" t="s">
        <v>126</v>
      </c>
      <c r="C219" s="72" t="s">
        <v>60</v>
      </c>
      <c r="D219" s="50" t="e">
        <f t="shared" si="3"/>
        <v>#VALUE!</v>
      </c>
      <c r="E219" s="59"/>
    </row>
    <row r="220" spans="2:5" hidden="1" outlineLevel="2" x14ac:dyDescent="0.2">
      <c r="B220" s="31" t="s">
        <v>127</v>
      </c>
      <c r="C220" s="72" t="s">
        <v>60</v>
      </c>
      <c r="D220" s="50" t="e">
        <f>C220+D140</f>
        <v>#VALUE!</v>
      </c>
      <c r="E220" s="59"/>
    </row>
    <row r="221" spans="2:5" hidden="1" outlineLevel="1" x14ac:dyDescent="0.2">
      <c r="B221" s="129" t="s">
        <v>196</v>
      </c>
      <c r="C221" s="130" t="s">
        <v>60</v>
      </c>
      <c r="D221" s="131" t="e">
        <f>SUM(D206,D213,D216,D217:D220)</f>
        <v>#VALUE!</v>
      </c>
      <c r="E221" s="107">
        <f>SUM(E206,E213,E216,E217:E220)</f>
        <v>0</v>
      </c>
    </row>
    <row r="222" spans="2:5" s="45" customFormat="1" hidden="1" outlineLevel="1" x14ac:dyDescent="0.2">
      <c r="B222" s="99"/>
      <c r="C222" s="100"/>
      <c r="D222" s="101"/>
      <c r="E222" s="102"/>
    </row>
    <row r="223" spans="2:5" collapsed="1" x14ac:dyDescent="0.2">
      <c r="B223" s="33" t="s">
        <v>197</v>
      </c>
      <c r="C223" s="79" t="s">
        <v>60</v>
      </c>
      <c r="D223" s="51" t="e">
        <f>ROUND(D201+D221,0)</f>
        <v>#VALUE!</v>
      </c>
      <c r="E223" s="108">
        <f>ROUND(E201+E221,0)</f>
        <v>0</v>
      </c>
    </row>
    <row r="224" spans="2:5" x14ac:dyDescent="0.2">
      <c r="C224" s="72"/>
      <c r="D224" s="12"/>
      <c r="E224" s="42"/>
    </row>
    <row r="225" spans="2:5" hidden="1" outlineLevel="2" x14ac:dyDescent="0.2">
      <c r="B225" s="31" t="s">
        <v>128</v>
      </c>
      <c r="C225" s="72" t="s">
        <v>60</v>
      </c>
      <c r="D225" s="50" t="str">
        <f>C225</f>
        <v>€</v>
      </c>
      <c r="E225" s="59"/>
    </row>
    <row r="226" spans="2:5" hidden="1" outlineLevel="2" x14ac:dyDescent="0.2">
      <c r="B226" s="31" t="s">
        <v>129</v>
      </c>
      <c r="C226" s="72" t="s">
        <v>60</v>
      </c>
      <c r="D226" s="50" t="str">
        <f t="shared" ref="D226:D239" si="4">C226</f>
        <v>€</v>
      </c>
      <c r="E226" s="59"/>
    </row>
    <row r="227" spans="2:5" hidden="1" outlineLevel="2" x14ac:dyDescent="0.2">
      <c r="B227" s="31" t="s">
        <v>130</v>
      </c>
      <c r="C227" s="72" t="s">
        <v>60</v>
      </c>
      <c r="D227" s="50" t="str">
        <f t="shared" si="4"/>
        <v>€</v>
      </c>
      <c r="E227" s="59"/>
    </row>
    <row r="228" spans="2:5" hidden="1" outlineLevel="2" x14ac:dyDescent="0.2">
      <c r="B228" s="31" t="s">
        <v>131</v>
      </c>
      <c r="C228" s="72" t="s">
        <v>60</v>
      </c>
      <c r="D228" s="50" t="str">
        <f t="shared" si="4"/>
        <v>€</v>
      </c>
      <c r="E228" s="59"/>
    </row>
    <row r="229" spans="2:5" hidden="1" outlineLevel="2" x14ac:dyDescent="0.2">
      <c r="B229" s="31" t="s">
        <v>132</v>
      </c>
      <c r="C229" s="72" t="s">
        <v>60</v>
      </c>
      <c r="D229" s="50" t="str">
        <f t="shared" si="4"/>
        <v>€</v>
      </c>
      <c r="E229" s="59"/>
    </row>
    <row r="230" spans="2:5" hidden="1" outlineLevel="2" x14ac:dyDescent="0.2">
      <c r="B230" s="31" t="s">
        <v>189</v>
      </c>
      <c r="C230" s="72" t="s">
        <v>60</v>
      </c>
      <c r="D230" s="50" t="str">
        <f t="shared" si="4"/>
        <v>€</v>
      </c>
      <c r="E230" s="59"/>
    </row>
    <row r="231" spans="2:5" hidden="1" outlineLevel="1" x14ac:dyDescent="0.2">
      <c r="B231" s="129" t="s">
        <v>198</v>
      </c>
      <c r="C231" s="130" t="s">
        <v>60</v>
      </c>
      <c r="D231" s="131">
        <f>SUM(D225:D230)</f>
        <v>0</v>
      </c>
      <c r="E231" s="107">
        <f>SUM(E225:E230)</f>
        <v>0</v>
      </c>
    </row>
    <row r="232" spans="2:5" s="45" customFormat="1" hidden="1" outlineLevel="1" x14ac:dyDescent="0.2">
      <c r="B232" s="99"/>
      <c r="C232" s="100"/>
      <c r="D232" s="101"/>
      <c r="E232" s="102"/>
    </row>
    <row r="233" spans="2:5" hidden="1" outlineLevel="3" x14ac:dyDescent="0.2">
      <c r="B233" s="87" t="s">
        <v>133</v>
      </c>
      <c r="C233" s="72" t="s">
        <v>60</v>
      </c>
      <c r="D233" s="50" t="str">
        <f t="shared" si="4"/>
        <v>€</v>
      </c>
      <c r="E233" s="59"/>
    </row>
    <row r="234" spans="2:5" hidden="1" outlineLevel="3" x14ac:dyDescent="0.2">
      <c r="B234" s="88" t="s">
        <v>134</v>
      </c>
      <c r="C234" s="73" t="s">
        <v>60</v>
      </c>
      <c r="D234" s="52" t="str">
        <f t="shared" si="4"/>
        <v>€</v>
      </c>
      <c r="E234" s="60"/>
    </row>
    <row r="235" spans="2:5" hidden="1" outlineLevel="2" x14ac:dyDescent="0.2">
      <c r="B235" s="31" t="s">
        <v>135</v>
      </c>
      <c r="C235" s="72" t="s">
        <v>60</v>
      </c>
      <c r="D235" s="50">
        <f>SUM(D233:D234)</f>
        <v>0</v>
      </c>
      <c r="E235" s="59">
        <f>SUM(E233:E234)</f>
        <v>0</v>
      </c>
    </row>
    <row r="236" spans="2:5" hidden="1" outlineLevel="2" x14ac:dyDescent="0.2">
      <c r="B236" s="31" t="s">
        <v>136</v>
      </c>
      <c r="C236" s="72" t="s">
        <v>60</v>
      </c>
      <c r="D236" s="50" t="str">
        <f t="shared" si="4"/>
        <v>€</v>
      </c>
      <c r="E236" s="59"/>
    </row>
    <row r="237" spans="2:5" hidden="1" outlineLevel="2" x14ac:dyDescent="0.2">
      <c r="B237" s="31" t="s">
        <v>137</v>
      </c>
      <c r="C237" s="72" t="s">
        <v>60</v>
      </c>
      <c r="D237" s="50" t="str">
        <f t="shared" si="4"/>
        <v>€</v>
      </c>
      <c r="E237" s="59"/>
    </row>
    <row r="238" spans="2:5" hidden="1" outlineLevel="2" x14ac:dyDescent="0.2">
      <c r="B238" s="31" t="s">
        <v>138</v>
      </c>
      <c r="C238" s="72" t="s">
        <v>60</v>
      </c>
      <c r="D238" s="50" t="e">
        <f>C238+D112</f>
        <v>#VALUE!</v>
      </c>
      <c r="E238" s="59"/>
    </row>
    <row r="239" spans="2:5" hidden="1" outlineLevel="2" x14ac:dyDescent="0.2">
      <c r="B239" s="31" t="s">
        <v>139</v>
      </c>
      <c r="C239" s="72" t="s">
        <v>60</v>
      </c>
      <c r="D239" s="50" t="str">
        <f t="shared" si="4"/>
        <v>€</v>
      </c>
      <c r="E239" s="59"/>
    </row>
    <row r="240" spans="2:5" hidden="1" outlineLevel="2" x14ac:dyDescent="0.2">
      <c r="B240" s="31" t="s">
        <v>140</v>
      </c>
      <c r="C240" s="72" t="s">
        <v>60</v>
      </c>
      <c r="D240" s="50" t="e">
        <f>C240+D137</f>
        <v>#VALUE!</v>
      </c>
      <c r="E240" s="59"/>
    </row>
    <row r="241" spans="2:5" hidden="1" outlineLevel="1" x14ac:dyDescent="0.2">
      <c r="B241" s="129" t="s">
        <v>199</v>
      </c>
      <c r="C241" s="130" t="s">
        <v>60</v>
      </c>
      <c r="D241" s="131" t="e">
        <f>SUM(D235,D236:D240)</f>
        <v>#VALUE!</v>
      </c>
      <c r="E241" s="107">
        <f>SUM(E235,E236:E240)</f>
        <v>0</v>
      </c>
    </row>
    <row r="242" spans="2:5" s="45" customFormat="1" hidden="1" outlineLevel="1" x14ac:dyDescent="0.2">
      <c r="B242" s="99"/>
      <c r="C242" s="100"/>
      <c r="D242" s="101"/>
      <c r="E242" s="102"/>
    </row>
    <row r="243" spans="2:5" hidden="1" outlineLevel="3" x14ac:dyDescent="0.2">
      <c r="B243" s="87" t="s">
        <v>141</v>
      </c>
      <c r="C243" s="72" t="s">
        <v>60</v>
      </c>
      <c r="D243" s="50" t="e">
        <f>C243+D163</f>
        <v>#VALUE!</v>
      </c>
      <c r="E243" s="59"/>
    </row>
    <row r="244" spans="2:5" hidden="1" outlineLevel="3" x14ac:dyDescent="0.2">
      <c r="B244" s="88" t="s">
        <v>142</v>
      </c>
      <c r="C244" s="73" t="s">
        <v>60</v>
      </c>
      <c r="D244" s="52" t="e">
        <f>C244+D164</f>
        <v>#VALUE!</v>
      </c>
      <c r="E244" s="60"/>
    </row>
    <row r="245" spans="2:5" hidden="1" outlineLevel="2" x14ac:dyDescent="0.2">
      <c r="B245" s="31" t="s">
        <v>143</v>
      </c>
      <c r="C245" s="72" t="s">
        <v>60</v>
      </c>
      <c r="D245" s="50" t="e">
        <f>SUM(D243:D244)</f>
        <v>#VALUE!</v>
      </c>
      <c r="E245" s="59">
        <f>SUM(E243:E244)</f>
        <v>0</v>
      </c>
    </row>
    <row r="246" spans="2:5" hidden="1" outlineLevel="4" x14ac:dyDescent="0.2">
      <c r="B246" s="97" t="s">
        <v>44</v>
      </c>
      <c r="C246" s="72" t="s">
        <v>60</v>
      </c>
      <c r="D246" s="50" t="e">
        <f>C246+D166</f>
        <v>#VALUE!</v>
      </c>
      <c r="E246" s="59"/>
    </row>
    <row r="247" spans="2:5" hidden="1" outlineLevel="4" x14ac:dyDescent="0.2">
      <c r="B247" s="98" t="s">
        <v>41</v>
      </c>
      <c r="C247" s="73" t="s">
        <v>60</v>
      </c>
      <c r="D247" s="94" t="e">
        <f>C247+D167</f>
        <v>#VALUE!</v>
      </c>
      <c r="E247" s="60"/>
    </row>
    <row r="248" spans="2:5" hidden="1" outlineLevel="3" x14ac:dyDescent="0.2">
      <c r="B248" s="32" t="s">
        <v>144</v>
      </c>
      <c r="C248" s="72" t="s">
        <v>60</v>
      </c>
      <c r="D248" s="50" t="e">
        <f>C248+D168</f>
        <v>#VALUE!</v>
      </c>
      <c r="E248" s="59"/>
    </row>
    <row r="249" spans="2:5" hidden="1" outlineLevel="3" x14ac:dyDescent="0.2">
      <c r="B249" s="32" t="s">
        <v>145</v>
      </c>
      <c r="C249" s="72" t="s">
        <v>60</v>
      </c>
      <c r="D249" s="50" t="e">
        <f>C249+D169</f>
        <v>#VALUE!</v>
      </c>
      <c r="E249" s="59"/>
    </row>
    <row r="250" spans="2:5" hidden="1" outlineLevel="3" x14ac:dyDescent="0.2">
      <c r="B250" s="36" t="s">
        <v>146</v>
      </c>
      <c r="C250" s="73" t="s">
        <v>60</v>
      </c>
      <c r="D250" s="52" t="e">
        <f>C250+D170</f>
        <v>#VALUE!</v>
      </c>
      <c r="E250" s="60"/>
    </row>
    <row r="251" spans="2:5" hidden="1" outlineLevel="2" x14ac:dyDescent="0.2">
      <c r="B251" s="31" t="s">
        <v>147</v>
      </c>
      <c r="C251" s="72" t="s">
        <v>60</v>
      </c>
      <c r="D251" s="50" t="e">
        <f>SUM(D248:D250)</f>
        <v>#VALUE!</v>
      </c>
      <c r="E251" s="59">
        <f>SUM(E248:E250)</f>
        <v>0</v>
      </c>
    </row>
    <row r="252" spans="2:5" hidden="1" outlineLevel="2" x14ac:dyDescent="0.2">
      <c r="B252" s="31" t="s">
        <v>148</v>
      </c>
      <c r="C252" s="72" t="s">
        <v>60</v>
      </c>
      <c r="D252" s="50" t="e">
        <f>C252+D172</f>
        <v>#VALUE!</v>
      </c>
      <c r="E252" s="59"/>
    </row>
    <row r="253" spans="2:5" hidden="1" outlineLevel="2" x14ac:dyDescent="0.2">
      <c r="B253" s="31" t="s">
        <v>149</v>
      </c>
      <c r="C253" s="72" t="s">
        <v>60</v>
      </c>
      <c r="D253" s="50" t="e">
        <f t="shared" ref="D253:D256" si="5">C253+D173</f>
        <v>#VALUE!</v>
      </c>
      <c r="E253" s="59"/>
    </row>
    <row r="254" spans="2:5" hidden="1" outlineLevel="2" x14ac:dyDescent="0.2">
      <c r="B254" s="31" t="s">
        <v>150</v>
      </c>
      <c r="C254" s="72" t="s">
        <v>60</v>
      </c>
      <c r="D254" s="50" t="e">
        <f t="shared" si="5"/>
        <v>#VALUE!</v>
      </c>
      <c r="E254" s="59"/>
    </row>
    <row r="255" spans="2:5" hidden="1" outlineLevel="2" x14ac:dyDescent="0.2">
      <c r="B255" s="31" t="s">
        <v>151</v>
      </c>
      <c r="C255" s="72" t="s">
        <v>60</v>
      </c>
      <c r="D255" s="50" t="e">
        <f t="shared" si="5"/>
        <v>#VALUE!</v>
      </c>
      <c r="E255" s="59"/>
    </row>
    <row r="256" spans="2:5" hidden="1" outlineLevel="2" x14ac:dyDescent="0.2">
      <c r="B256" s="31" t="s">
        <v>152</v>
      </c>
      <c r="C256" s="72" t="s">
        <v>60</v>
      </c>
      <c r="D256" s="50" t="e">
        <f t="shared" si="5"/>
        <v>#VALUE!</v>
      </c>
      <c r="E256" s="59"/>
    </row>
    <row r="257" spans="1:5" hidden="1" outlineLevel="1" x14ac:dyDescent="0.2">
      <c r="B257" s="129" t="s">
        <v>200</v>
      </c>
      <c r="C257" s="130" t="s">
        <v>60</v>
      </c>
      <c r="D257" s="131" t="e">
        <f>SUM(D245,D251,D252:D256)</f>
        <v>#VALUE!</v>
      </c>
      <c r="E257" s="107">
        <f>SUM(E245,E251,E252:E256)</f>
        <v>0</v>
      </c>
    </row>
    <row r="258" spans="1:5" s="45" customFormat="1" hidden="1" outlineLevel="1" x14ac:dyDescent="0.2">
      <c r="B258" s="99"/>
      <c r="C258" s="100"/>
      <c r="D258" s="101"/>
      <c r="E258" s="102"/>
    </row>
    <row r="259" spans="1:5" collapsed="1" x14ac:dyDescent="0.2">
      <c r="B259" s="33" t="s">
        <v>201</v>
      </c>
      <c r="C259" s="79" t="s">
        <v>60</v>
      </c>
      <c r="D259" s="51" t="e">
        <f>ROUND(D231+D241+D257,0)</f>
        <v>#VALUE!</v>
      </c>
      <c r="E259" s="108">
        <f>ROUND(E231+E241+E257,0)</f>
        <v>0</v>
      </c>
    </row>
    <row r="260" spans="1:5" x14ac:dyDescent="0.2">
      <c r="A260" s="37"/>
      <c r="B260" s="37"/>
      <c r="C260" s="80"/>
      <c r="D260" s="38"/>
      <c r="E260" s="44"/>
    </row>
    <row r="261" spans="1:5" x14ac:dyDescent="0.2">
      <c r="A261" s="6" t="s">
        <v>153</v>
      </c>
      <c r="B261" s="7"/>
      <c r="C261" s="8"/>
      <c r="D261" s="8"/>
      <c r="E261" s="39"/>
    </row>
    <row r="263" spans="1:5" ht="15.75" x14ac:dyDescent="0.2">
      <c r="A263" s="103"/>
      <c r="C263" s="104" t="s">
        <v>202</v>
      </c>
      <c r="D263" s="61" t="e">
        <f>IF((D223-D259)=0,"a","r")</f>
        <v>#VALUE!</v>
      </c>
      <c r="E263" s="61" t="str">
        <f>IF((E223-E259)=0,"a","r")</f>
        <v>a</v>
      </c>
    </row>
  </sheetData>
  <mergeCells count="3">
    <mergeCell ref="C4:C5"/>
    <mergeCell ref="D4:D5"/>
    <mergeCell ref="E4:E5"/>
  </mergeCells>
  <conditionalFormatting sqref="D65 D83 D95 D100 D104 D140">
    <cfRule type="cellIs" dxfId="18" priority="12" operator="equal">
      <formula>0</formula>
    </cfRule>
    <cfRule type="cellIs" dxfId="17" priority="13" operator="lessThan">
      <formula>0</formula>
    </cfRule>
  </conditionalFormatting>
  <conditionalFormatting sqref="D263:E263">
    <cfRule type="cellIs" dxfId="16" priority="10" operator="equal">
      <formula>"r"</formula>
    </cfRule>
    <cfRule type="cellIs" dxfId="15" priority="11" operator="equal">
      <formula>"a"</formula>
    </cfRule>
  </conditionalFormatting>
  <conditionalFormatting sqref="D220">
    <cfRule type="cellIs" dxfId="14" priority="9" operator="lessThan">
      <formula>0</formula>
    </cfRule>
  </conditionalFormatting>
  <conditionalFormatting sqref="D181">
    <cfRule type="cellIs" dxfId="13" priority="7" operator="equal">
      <formula>0</formula>
    </cfRule>
    <cfRule type="cellIs" dxfId="12" priority="8" operator="lessThan">
      <formula>0</formula>
    </cfRule>
  </conditionalFormatting>
  <conditionalFormatting sqref="D9:E14">
    <cfRule type="cellIs" dxfId="11" priority="6" operator="lessThan">
      <formula>0</formula>
    </cfRule>
    <cfRule type="cellIs" dxfId="10" priority="5" operator="equal">
      <formula>0</formula>
    </cfRule>
  </conditionalFormatting>
  <conditionalFormatting sqref="D19:E19">
    <cfRule type="cellIs" dxfId="9" priority="4" operator="greaterThan">
      <formula>1</formula>
    </cfRule>
  </conditionalFormatting>
  <conditionalFormatting sqref="D21:E21">
    <cfRule type="cellIs" dxfId="8" priority="3" operator="greaterThan">
      <formula>1</formula>
    </cfRule>
  </conditionalFormatting>
  <conditionalFormatting sqref="D22:E22">
    <cfRule type="cellIs" dxfId="7" priority="2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D4029-E171-451B-94DE-C717C4CB1474}">
  <sheetPr codeName="Sheet1"/>
  <dimension ref="A2:G263"/>
  <sheetViews>
    <sheetView showGridLines="0" zoomScale="80" zoomScaleNormal="80" workbookViewId="0">
      <selection activeCell="B120" sqref="B120"/>
    </sheetView>
  </sheetViews>
  <sheetFormatPr defaultRowHeight="12.75" outlineLevelRow="4" x14ac:dyDescent="0.2"/>
  <cols>
    <col min="1" max="1" width="4" style="1" customWidth="1"/>
    <col min="2" max="2" width="57" style="1" bestFit="1" customWidth="1"/>
    <col min="3" max="3" width="8.7109375" style="3" customWidth="1"/>
    <col min="4" max="4" width="11.7109375" style="3" customWidth="1"/>
    <col min="5" max="5" width="11.5703125" style="3" customWidth="1"/>
    <col min="6" max="16384" width="9.140625" style="1"/>
  </cols>
  <sheetData>
    <row r="2" spans="1:7" x14ac:dyDescent="0.2">
      <c r="B2" s="2" t="s">
        <v>0</v>
      </c>
      <c r="G2" s="45"/>
    </row>
    <row r="3" spans="1:7" x14ac:dyDescent="0.2">
      <c r="B3" s="4" t="s">
        <v>1</v>
      </c>
      <c r="G3" s="45"/>
    </row>
    <row r="4" spans="1:7" x14ac:dyDescent="0.2">
      <c r="B4" s="4" t="s">
        <v>2</v>
      </c>
      <c r="C4" s="142" t="s">
        <v>3</v>
      </c>
      <c r="D4" s="144" t="s">
        <v>185</v>
      </c>
      <c r="E4" s="146" t="s">
        <v>4</v>
      </c>
    </row>
    <row r="5" spans="1:7" x14ac:dyDescent="0.2">
      <c r="B5" s="5"/>
      <c r="C5" s="143"/>
      <c r="D5" s="145"/>
      <c r="E5" s="147"/>
    </row>
    <row r="6" spans="1:7" x14ac:dyDescent="0.2">
      <c r="A6" s="6" t="s">
        <v>5</v>
      </c>
      <c r="B6" s="7"/>
      <c r="C6" s="8"/>
      <c r="D6" s="8"/>
      <c r="E6" s="8"/>
    </row>
    <row r="7" spans="1:7" x14ac:dyDescent="0.2">
      <c r="C7" s="78"/>
      <c r="D7" s="78"/>
    </row>
    <row r="8" spans="1:7" hidden="1" outlineLevel="1" x14ac:dyDescent="0.2">
      <c r="B8" s="9" t="s">
        <v>6</v>
      </c>
      <c r="C8" s="71" t="s">
        <v>7</v>
      </c>
      <c r="D8" s="71"/>
      <c r="E8" s="62"/>
    </row>
    <row r="9" spans="1:7" hidden="1" outlineLevel="2" x14ac:dyDescent="0.2">
      <c r="B9" s="11" t="s">
        <v>8</v>
      </c>
      <c r="C9" s="72" t="s">
        <v>7</v>
      </c>
      <c r="D9" s="72"/>
      <c r="E9" s="63"/>
    </row>
    <row r="10" spans="1:7" hidden="1" outlineLevel="2" x14ac:dyDescent="0.2">
      <c r="B10" s="11" t="s">
        <v>9</v>
      </c>
      <c r="C10" s="72" t="s">
        <v>10</v>
      </c>
      <c r="D10" s="72"/>
      <c r="E10" s="63"/>
    </row>
    <row r="11" spans="1:7" hidden="1" outlineLevel="2" x14ac:dyDescent="0.2">
      <c r="B11" s="13" t="s">
        <v>11</v>
      </c>
      <c r="C11" s="73" t="s">
        <v>7</v>
      </c>
      <c r="D11" s="73"/>
      <c r="E11" s="64"/>
    </row>
    <row r="12" spans="1:7" hidden="1" outlineLevel="1" x14ac:dyDescent="0.2">
      <c r="B12" s="9" t="s">
        <v>12</v>
      </c>
      <c r="C12" s="72"/>
      <c r="D12" s="72"/>
      <c r="E12" s="63"/>
    </row>
    <row r="13" spans="1:7" hidden="1" outlineLevel="1" x14ac:dyDescent="0.2">
      <c r="B13" s="9" t="s">
        <v>13</v>
      </c>
      <c r="C13" s="71" t="s">
        <v>14</v>
      </c>
      <c r="D13" s="71"/>
      <c r="E13" s="62"/>
    </row>
    <row r="14" spans="1:7" hidden="1" outlineLevel="1" x14ac:dyDescent="0.2">
      <c r="B14" s="9" t="s">
        <v>15</v>
      </c>
      <c r="C14" s="71" t="s">
        <v>16</v>
      </c>
      <c r="D14" s="71"/>
      <c r="E14" s="62"/>
    </row>
    <row r="15" spans="1:7" hidden="1" outlineLevel="1" x14ac:dyDescent="0.2">
      <c r="B15" s="9" t="s">
        <v>17</v>
      </c>
      <c r="C15" s="72" t="s">
        <v>7</v>
      </c>
      <c r="D15" s="72"/>
      <c r="E15" s="63"/>
    </row>
    <row r="16" spans="1:7" collapsed="1" x14ac:dyDescent="0.2">
      <c r="B16" s="111" t="s">
        <v>18</v>
      </c>
      <c r="C16" s="112"/>
      <c r="D16" s="112"/>
      <c r="E16" s="113"/>
    </row>
    <row r="17" spans="2:5" x14ac:dyDescent="0.2">
      <c r="B17" s="9"/>
      <c r="C17" s="71"/>
      <c r="D17" s="71"/>
      <c r="E17" s="110"/>
    </row>
    <row r="18" spans="2:5" hidden="1" outlineLevel="1" x14ac:dyDescent="0.2">
      <c r="B18" s="9" t="s">
        <v>19</v>
      </c>
      <c r="C18" s="71" t="s">
        <v>20</v>
      </c>
      <c r="D18" s="71"/>
      <c r="E18" s="62"/>
    </row>
    <row r="19" spans="2:5" hidden="1" outlineLevel="1" x14ac:dyDescent="0.2">
      <c r="B19" s="9" t="s">
        <v>21</v>
      </c>
      <c r="C19" s="71" t="s">
        <v>22</v>
      </c>
      <c r="D19" s="71"/>
      <c r="E19" s="62"/>
    </row>
    <row r="20" spans="2:5" hidden="1" outlineLevel="1" x14ac:dyDescent="0.2">
      <c r="B20" s="9" t="s">
        <v>23</v>
      </c>
      <c r="C20" s="71" t="s">
        <v>16</v>
      </c>
      <c r="D20" s="71"/>
      <c r="E20" s="62"/>
    </row>
    <row r="21" spans="2:5" hidden="1" outlineLevel="1" x14ac:dyDescent="0.2">
      <c r="B21" s="9" t="s">
        <v>24</v>
      </c>
      <c r="C21" s="71" t="s">
        <v>16</v>
      </c>
      <c r="D21" s="71"/>
      <c r="E21" s="62"/>
    </row>
    <row r="22" spans="2:5" hidden="1" outlineLevel="1" x14ac:dyDescent="0.2">
      <c r="B22" s="9" t="s">
        <v>25</v>
      </c>
      <c r="C22" s="71" t="s">
        <v>26</v>
      </c>
      <c r="D22" s="71"/>
      <c r="E22" s="62"/>
    </row>
    <row r="23" spans="2:5" hidden="1" outlineLevel="1" x14ac:dyDescent="0.2">
      <c r="B23" s="9" t="s">
        <v>27</v>
      </c>
      <c r="C23" s="71" t="s">
        <v>16</v>
      </c>
      <c r="D23" s="71"/>
      <c r="E23" s="62"/>
    </row>
    <row r="24" spans="2:5" hidden="1" outlineLevel="1" x14ac:dyDescent="0.2">
      <c r="B24" s="9" t="s">
        <v>28</v>
      </c>
      <c r="C24" s="71" t="s">
        <v>16</v>
      </c>
      <c r="D24" s="71"/>
      <c r="E24" s="62"/>
    </row>
    <row r="25" spans="2:5" hidden="1" outlineLevel="1" x14ac:dyDescent="0.2">
      <c r="B25" s="9" t="s">
        <v>29</v>
      </c>
      <c r="C25" s="71" t="s">
        <v>30</v>
      </c>
      <c r="D25" s="71"/>
      <c r="E25" s="62"/>
    </row>
    <row r="26" spans="2:5" collapsed="1" x14ac:dyDescent="0.2">
      <c r="B26" s="111" t="s">
        <v>31</v>
      </c>
      <c r="C26" s="112"/>
      <c r="D26" s="112"/>
      <c r="E26" s="113"/>
    </row>
    <row r="27" spans="2:5" x14ac:dyDescent="0.2">
      <c r="B27" s="5"/>
      <c r="C27" s="71"/>
      <c r="D27" s="71"/>
      <c r="E27" s="110"/>
    </row>
    <row r="28" spans="2:5" hidden="1" outlineLevel="1" x14ac:dyDescent="0.2">
      <c r="B28" s="9" t="s">
        <v>32</v>
      </c>
      <c r="C28" s="72" t="s">
        <v>7</v>
      </c>
      <c r="D28" s="72"/>
      <c r="E28" s="63"/>
    </row>
    <row r="29" spans="2:5" hidden="1" outlineLevel="1" x14ac:dyDescent="0.2">
      <c r="B29" s="9" t="s">
        <v>33</v>
      </c>
      <c r="C29" s="72" t="s">
        <v>7</v>
      </c>
      <c r="D29" s="72"/>
      <c r="E29" s="63"/>
    </row>
    <row r="30" spans="2:5" hidden="1" outlineLevel="1" x14ac:dyDescent="0.2">
      <c r="B30" s="9" t="s">
        <v>34</v>
      </c>
      <c r="C30" s="71"/>
      <c r="D30" s="71"/>
      <c r="E30" s="62"/>
    </row>
    <row r="31" spans="2:5" hidden="1" outlineLevel="1" x14ac:dyDescent="0.2">
      <c r="B31" s="9" t="s">
        <v>35</v>
      </c>
      <c r="C31" s="71" t="s">
        <v>16</v>
      </c>
      <c r="D31" s="71"/>
      <c r="E31" s="62"/>
    </row>
    <row r="32" spans="2:5" collapsed="1" x14ac:dyDescent="0.2">
      <c r="B32" s="111" t="s">
        <v>36</v>
      </c>
      <c r="C32" s="112"/>
      <c r="D32" s="112"/>
      <c r="E32" s="113"/>
    </row>
    <row r="33" spans="2:5" x14ac:dyDescent="0.2">
      <c r="B33" s="5"/>
      <c r="C33" s="71"/>
      <c r="D33" s="71"/>
      <c r="E33" s="110"/>
    </row>
    <row r="34" spans="2:5" hidden="1" outlineLevel="2" x14ac:dyDescent="0.2">
      <c r="B34" s="14" t="s">
        <v>34</v>
      </c>
      <c r="C34" s="71" t="s">
        <v>37</v>
      </c>
      <c r="D34" s="71"/>
      <c r="E34" s="62"/>
    </row>
    <row r="35" spans="2:5" hidden="1" outlineLevel="2" x14ac:dyDescent="0.2">
      <c r="B35" s="14" t="s">
        <v>38</v>
      </c>
      <c r="C35" s="71" t="s">
        <v>37</v>
      </c>
      <c r="D35" s="71"/>
      <c r="E35" s="62"/>
    </row>
    <row r="36" spans="2:5" hidden="1" outlineLevel="2" x14ac:dyDescent="0.2">
      <c r="B36" s="14" t="s">
        <v>39</v>
      </c>
      <c r="C36" s="71" t="s">
        <v>37</v>
      </c>
      <c r="D36" s="71"/>
      <c r="E36" s="62"/>
    </row>
    <row r="37" spans="2:5" hidden="1" outlineLevel="2" x14ac:dyDescent="0.2">
      <c r="B37" s="14" t="s">
        <v>40</v>
      </c>
      <c r="C37" s="71" t="s">
        <v>37</v>
      </c>
      <c r="D37" s="71"/>
      <c r="E37" s="62"/>
    </row>
    <row r="38" spans="2:5" hidden="1" outlineLevel="2" x14ac:dyDescent="0.2">
      <c r="B38" s="14" t="s">
        <v>41</v>
      </c>
      <c r="C38" s="71" t="s">
        <v>37</v>
      </c>
      <c r="D38" s="71"/>
      <c r="E38" s="62"/>
    </row>
    <row r="39" spans="2:5" hidden="1" outlineLevel="2" x14ac:dyDescent="0.2">
      <c r="B39" s="15" t="s">
        <v>42</v>
      </c>
      <c r="C39" s="74" t="s">
        <v>37</v>
      </c>
      <c r="D39" s="74"/>
      <c r="E39" s="65"/>
    </row>
    <row r="40" spans="2:5" hidden="1" outlineLevel="1" x14ac:dyDescent="0.2">
      <c r="B40" s="5" t="s">
        <v>43</v>
      </c>
      <c r="C40" s="71"/>
      <c r="D40" s="71"/>
      <c r="E40" s="62"/>
    </row>
    <row r="41" spans="2:5" hidden="1" outlineLevel="2" x14ac:dyDescent="0.2">
      <c r="B41" s="14" t="s">
        <v>44</v>
      </c>
      <c r="C41" s="71" t="s">
        <v>37</v>
      </c>
      <c r="D41" s="71"/>
      <c r="E41" s="62"/>
    </row>
    <row r="42" spans="2:5" hidden="1" outlineLevel="2" x14ac:dyDescent="0.2">
      <c r="B42" s="14" t="s">
        <v>45</v>
      </c>
      <c r="C42" s="71" t="s">
        <v>37</v>
      </c>
      <c r="D42" s="71"/>
      <c r="E42" s="62"/>
    </row>
    <row r="43" spans="2:5" hidden="1" outlineLevel="2" x14ac:dyDescent="0.2">
      <c r="B43" s="14" t="s">
        <v>41</v>
      </c>
      <c r="C43" s="71" t="s">
        <v>37</v>
      </c>
      <c r="D43" s="71"/>
      <c r="E43" s="62"/>
    </row>
    <row r="44" spans="2:5" hidden="1" outlineLevel="2" x14ac:dyDescent="0.2">
      <c r="B44" s="15" t="s">
        <v>46</v>
      </c>
      <c r="C44" s="74" t="s">
        <v>37</v>
      </c>
      <c r="D44" s="74"/>
      <c r="E44" s="65"/>
    </row>
    <row r="45" spans="2:5" hidden="1" outlineLevel="1" x14ac:dyDescent="0.2">
      <c r="B45" s="5" t="s">
        <v>47</v>
      </c>
      <c r="C45" s="71"/>
      <c r="D45" s="71"/>
      <c r="E45" s="62"/>
    </row>
    <row r="46" spans="2:5" hidden="1" outlineLevel="2" x14ac:dyDescent="0.2">
      <c r="B46" s="14" t="s">
        <v>48</v>
      </c>
      <c r="C46" s="71" t="s">
        <v>37</v>
      </c>
      <c r="D46" s="71"/>
      <c r="E46" s="62"/>
    </row>
    <row r="47" spans="2:5" hidden="1" outlineLevel="2" x14ac:dyDescent="0.2">
      <c r="B47" s="16" t="s">
        <v>49</v>
      </c>
      <c r="C47" s="74" t="s">
        <v>37</v>
      </c>
      <c r="D47" s="74"/>
      <c r="E47" s="65"/>
    </row>
    <row r="48" spans="2:5" hidden="1" outlineLevel="1" x14ac:dyDescent="0.2">
      <c r="B48" s="5" t="s">
        <v>50</v>
      </c>
      <c r="C48" s="71"/>
      <c r="D48" s="71"/>
      <c r="E48" s="62"/>
    </row>
    <row r="49" spans="1:5" collapsed="1" x14ac:dyDescent="0.2">
      <c r="B49" s="111" t="s">
        <v>51</v>
      </c>
      <c r="C49" s="112"/>
      <c r="D49" s="112"/>
      <c r="E49" s="113"/>
    </row>
    <row r="50" spans="1:5" x14ac:dyDescent="0.2">
      <c r="B50" s="5"/>
      <c r="C50" s="76"/>
      <c r="D50" s="76"/>
      <c r="E50" s="17"/>
    </row>
    <row r="51" spans="1:5" x14ac:dyDescent="0.2">
      <c r="A51" s="18" t="s">
        <v>52</v>
      </c>
      <c r="B51" s="19"/>
      <c r="C51" s="8"/>
      <c r="D51" s="8"/>
      <c r="E51" s="39"/>
    </row>
    <row r="52" spans="1:5" x14ac:dyDescent="0.2">
      <c r="B52" s="5"/>
      <c r="C52" s="75"/>
      <c r="D52" s="10"/>
      <c r="E52" s="40"/>
    </row>
    <row r="53" spans="1:5" hidden="1" outlineLevel="2" x14ac:dyDescent="0.2">
      <c r="B53" s="20" t="s">
        <v>154</v>
      </c>
      <c r="C53" s="71" t="s">
        <v>60</v>
      </c>
      <c r="D53" s="46"/>
      <c r="E53" s="53"/>
    </row>
    <row r="54" spans="1:5" hidden="1" outlineLevel="2" x14ac:dyDescent="0.2">
      <c r="B54" s="20" t="s">
        <v>155</v>
      </c>
      <c r="C54" s="71" t="s">
        <v>60</v>
      </c>
      <c r="D54" s="46"/>
      <c r="E54" s="53"/>
    </row>
    <row r="55" spans="1:5" hidden="1" outlineLevel="2" x14ac:dyDescent="0.2">
      <c r="B55" s="20" t="s">
        <v>156</v>
      </c>
      <c r="C55" s="71" t="s">
        <v>60</v>
      </c>
      <c r="D55" s="46"/>
      <c r="E55" s="53"/>
    </row>
    <row r="56" spans="1:5" hidden="1" outlineLevel="2" x14ac:dyDescent="0.2">
      <c r="B56" s="20" t="s">
        <v>157</v>
      </c>
      <c r="C56" s="71" t="s">
        <v>60</v>
      </c>
      <c r="D56" s="46"/>
      <c r="E56" s="53"/>
    </row>
    <row r="57" spans="1:5" hidden="1" outlineLevel="2" x14ac:dyDescent="0.2">
      <c r="B57" s="20" t="s">
        <v>158</v>
      </c>
      <c r="C57" s="71" t="s">
        <v>60</v>
      </c>
      <c r="D57" s="46"/>
      <c r="E57" s="53"/>
    </row>
    <row r="58" spans="1:5" hidden="1" outlineLevel="2" x14ac:dyDescent="0.2">
      <c r="B58" s="21" t="s">
        <v>159</v>
      </c>
      <c r="C58" s="76" t="s">
        <v>60</v>
      </c>
      <c r="D58" s="47"/>
      <c r="E58" s="54"/>
    </row>
    <row r="59" spans="1:5" hidden="1" outlineLevel="1" x14ac:dyDescent="0.2">
      <c r="B59" s="22" t="s">
        <v>54</v>
      </c>
      <c r="C59" s="77" t="s">
        <v>60</v>
      </c>
      <c r="D59" s="48">
        <f>SUM(D53:D58)</f>
        <v>0</v>
      </c>
      <c r="E59" s="55">
        <f>SUM(E53:E58)</f>
        <v>0</v>
      </c>
    </row>
    <row r="60" spans="1:5" hidden="1" outlineLevel="2" x14ac:dyDescent="0.2">
      <c r="B60" s="20" t="s">
        <v>160</v>
      </c>
      <c r="C60" s="71" t="s">
        <v>60</v>
      </c>
      <c r="D60" s="46"/>
      <c r="E60" s="53"/>
    </row>
    <row r="61" spans="1:5" hidden="1" outlineLevel="2" x14ac:dyDescent="0.2">
      <c r="B61" s="20" t="s">
        <v>161</v>
      </c>
      <c r="C61" s="71" t="s">
        <v>60</v>
      </c>
      <c r="D61" s="46"/>
      <c r="E61" s="53"/>
    </row>
    <row r="62" spans="1:5" hidden="1" outlineLevel="2" x14ac:dyDescent="0.2">
      <c r="B62" s="20" t="s">
        <v>162</v>
      </c>
      <c r="C62" s="71" t="s">
        <v>60</v>
      </c>
      <c r="D62" s="46"/>
      <c r="E62" s="53"/>
    </row>
    <row r="63" spans="1:5" hidden="1" outlineLevel="2" x14ac:dyDescent="0.2">
      <c r="B63" s="21" t="s">
        <v>163</v>
      </c>
      <c r="C63" s="76" t="s">
        <v>60</v>
      </c>
      <c r="D63" s="47"/>
      <c r="E63" s="54"/>
    </row>
    <row r="64" spans="1:5" hidden="1" outlineLevel="1" x14ac:dyDescent="0.2">
      <c r="B64" s="22" t="s">
        <v>55</v>
      </c>
      <c r="C64" s="77" t="s">
        <v>60</v>
      </c>
      <c r="D64" s="48">
        <f>SUM(D60:D63)</f>
        <v>0</v>
      </c>
      <c r="E64" s="55">
        <f>SUM(E60:E63)</f>
        <v>0</v>
      </c>
    </row>
    <row r="65" spans="2:5" hidden="1" outlineLevel="1" x14ac:dyDescent="0.2">
      <c r="B65" s="136" t="s">
        <v>164</v>
      </c>
      <c r="C65" s="137" t="s">
        <v>60</v>
      </c>
      <c r="D65" s="138">
        <f>D59-D64</f>
        <v>0</v>
      </c>
      <c r="E65" s="109">
        <f>E59+E64</f>
        <v>0</v>
      </c>
    </row>
    <row r="66" spans="2:5" hidden="1" outlineLevel="4" x14ac:dyDescent="0.2">
      <c r="B66" s="24" t="s">
        <v>165</v>
      </c>
      <c r="C66" s="76" t="s">
        <v>60</v>
      </c>
      <c r="D66" s="47"/>
      <c r="E66" s="54"/>
    </row>
    <row r="67" spans="2:5" hidden="1" outlineLevel="3" x14ac:dyDescent="0.2">
      <c r="B67" s="25" t="s">
        <v>56</v>
      </c>
      <c r="C67" s="77" t="s">
        <v>60</v>
      </c>
      <c r="D67" s="48">
        <f>SUM(D66)</f>
        <v>0</v>
      </c>
      <c r="E67" s="55">
        <f>SUM(E66)</f>
        <v>0</v>
      </c>
    </row>
    <row r="68" spans="2:5" hidden="1" outlineLevel="4" x14ac:dyDescent="0.2">
      <c r="B68" s="23" t="s">
        <v>166</v>
      </c>
      <c r="C68" s="71" t="s">
        <v>60</v>
      </c>
      <c r="D68" s="46"/>
      <c r="E68" s="56"/>
    </row>
    <row r="69" spans="2:5" hidden="1" outlineLevel="4" x14ac:dyDescent="0.2">
      <c r="B69" s="23" t="s">
        <v>167</v>
      </c>
      <c r="C69" s="71" t="s">
        <v>60</v>
      </c>
      <c r="D69" s="46"/>
      <c r="E69" s="56"/>
    </row>
    <row r="70" spans="2:5" hidden="1" outlineLevel="4" x14ac:dyDescent="0.2">
      <c r="B70" s="23" t="s">
        <v>168</v>
      </c>
      <c r="C70" s="71" t="s">
        <v>60</v>
      </c>
      <c r="D70" s="46"/>
      <c r="E70" s="56"/>
    </row>
    <row r="71" spans="2:5" hidden="1" outlineLevel="4" x14ac:dyDescent="0.2">
      <c r="B71" s="23" t="s">
        <v>169</v>
      </c>
      <c r="C71" s="71" t="s">
        <v>60</v>
      </c>
      <c r="D71" s="46"/>
      <c r="E71" s="56"/>
    </row>
    <row r="72" spans="2:5" hidden="1" outlineLevel="4" x14ac:dyDescent="0.2">
      <c r="B72" s="23" t="s">
        <v>170</v>
      </c>
      <c r="C72" s="71" t="s">
        <v>60</v>
      </c>
      <c r="D72" s="46"/>
      <c r="E72" s="56"/>
    </row>
    <row r="73" spans="2:5" hidden="1" outlineLevel="4" x14ac:dyDescent="0.2">
      <c r="B73" s="23" t="s">
        <v>171</v>
      </c>
      <c r="C73" s="71" t="s">
        <v>60</v>
      </c>
      <c r="D73" s="46"/>
      <c r="E73" s="56"/>
    </row>
    <row r="74" spans="2:5" hidden="1" outlineLevel="4" x14ac:dyDescent="0.2">
      <c r="B74" s="23" t="s">
        <v>172</v>
      </c>
      <c r="C74" s="71" t="s">
        <v>60</v>
      </c>
      <c r="D74" s="46"/>
      <c r="E74" s="56"/>
    </row>
    <row r="75" spans="2:5" hidden="1" outlineLevel="4" x14ac:dyDescent="0.2">
      <c r="B75" s="23" t="s">
        <v>173</v>
      </c>
      <c r="C75" s="71" t="s">
        <v>60</v>
      </c>
      <c r="D75" s="46"/>
      <c r="E75" s="56"/>
    </row>
    <row r="76" spans="2:5" hidden="1" outlineLevel="4" x14ac:dyDescent="0.2">
      <c r="B76" s="23" t="s">
        <v>174</v>
      </c>
      <c r="C76" s="71" t="s">
        <v>60</v>
      </c>
      <c r="D76" s="46"/>
      <c r="E76" s="56"/>
    </row>
    <row r="77" spans="2:5" hidden="1" outlineLevel="4" x14ac:dyDescent="0.2">
      <c r="B77" s="23" t="s">
        <v>175</v>
      </c>
      <c r="C77" s="71" t="s">
        <v>60</v>
      </c>
      <c r="D77" s="46"/>
      <c r="E77" s="56"/>
    </row>
    <row r="78" spans="2:5" hidden="1" outlineLevel="4" x14ac:dyDescent="0.2">
      <c r="B78" s="23" t="s">
        <v>176</v>
      </c>
      <c r="C78" s="71" t="s">
        <v>60</v>
      </c>
      <c r="D78" s="46"/>
      <c r="E78" s="56"/>
    </row>
    <row r="79" spans="2:5" hidden="1" outlineLevel="4" x14ac:dyDescent="0.2">
      <c r="B79" s="23" t="s">
        <v>177</v>
      </c>
      <c r="C79" s="71" t="s">
        <v>60</v>
      </c>
      <c r="D79" s="46"/>
      <c r="E79" s="56"/>
    </row>
    <row r="80" spans="2:5" hidden="1" outlineLevel="4" x14ac:dyDescent="0.2">
      <c r="B80" s="24" t="s">
        <v>178</v>
      </c>
      <c r="C80" s="76" t="s">
        <v>60</v>
      </c>
      <c r="D80" s="47"/>
      <c r="E80" s="57"/>
    </row>
    <row r="81" spans="2:5" hidden="1" outlineLevel="3" x14ac:dyDescent="0.2">
      <c r="B81" s="25" t="s">
        <v>57</v>
      </c>
      <c r="C81" s="77" t="s">
        <v>60</v>
      </c>
      <c r="D81" s="48">
        <f>SUM(D68:D80)</f>
        <v>0</v>
      </c>
      <c r="E81" s="55">
        <f>SUM(E68:E80)</f>
        <v>0</v>
      </c>
    </row>
    <row r="82" spans="2:5" hidden="1" outlineLevel="2" x14ac:dyDescent="0.2">
      <c r="B82" s="26" t="s">
        <v>58</v>
      </c>
      <c r="C82" s="77" t="s">
        <v>60</v>
      </c>
      <c r="D82" s="48">
        <f>D67+D81</f>
        <v>0</v>
      </c>
      <c r="E82" s="55">
        <f>E67+E81</f>
        <v>0</v>
      </c>
    </row>
    <row r="83" spans="2:5" collapsed="1" x14ac:dyDescent="0.2">
      <c r="B83" s="136" t="s">
        <v>59</v>
      </c>
      <c r="C83" s="137" t="s">
        <v>60</v>
      </c>
      <c r="D83" s="138">
        <f>D65-D82</f>
        <v>0</v>
      </c>
      <c r="E83" s="109">
        <f>E65+E82</f>
        <v>0</v>
      </c>
    </row>
    <row r="84" spans="2:5" hidden="1" outlineLevel="2" x14ac:dyDescent="0.2">
      <c r="B84" s="27" t="s">
        <v>62</v>
      </c>
      <c r="C84" s="71" t="s">
        <v>60</v>
      </c>
      <c r="D84" s="46"/>
      <c r="E84" s="56"/>
    </row>
    <row r="85" spans="2:5" hidden="1" outlineLevel="2" x14ac:dyDescent="0.2">
      <c r="B85" s="27" t="s">
        <v>63</v>
      </c>
      <c r="C85" s="71" t="s">
        <v>60</v>
      </c>
      <c r="D85" s="46"/>
      <c r="E85" s="56"/>
    </row>
    <row r="86" spans="2:5" hidden="1" outlineLevel="2" x14ac:dyDescent="0.2">
      <c r="B86" s="27" t="s">
        <v>64</v>
      </c>
      <c r="C86" s="71" t="s">
        <v>60</v>
      </c>
      <c r="D86" s="46"/>
      <c r="E86" s="56"/>
    </row>
    <row r="87" spans="2:5" hidden="1" outlineLevel="2" x14ac:dyDescent="0.2">
      <c r="B87" s="27" t="s">
        <v>65</v>
      </c>
      <c r="C87" s="71" t="s">
        <v>60</v>
      </c>
      <c r="D87" s="46"/>
      <c r="E87" s="56"/>
    </row>
    <row r="88" spans="2:5" hidden="1" outlineLevel="2" x14ac:dyDescent="0.2">
      <c r="B88" s="28" t="s">
        <v>66</v>
      </c>
      <c r="C88" s="74" t="s">
        <v>60</v>
      </c>
      <c r="D88" s="49"/>
      <c r="E88" s="58"/>
    </row>
    <row r="89" spans="2:5" hidden="1" outlineLevel="1" x14ac:dyDescent="0.2">
      <c r="B89" s="139" t="s">
        <v>67</v>
      </c>
      <c r="C89" s="140" t="s">
        <v>60</v>
      </c>
      <c r="D89" s="141">
        <f>SUM(D84:D88)</f>
        <v>0</v>
      </c>
      <c r="E89" s="127">
        <f>SUM(E84:E88)</f>
        <v>0</v>
      </c>
    </row>
    <row r="90" spans="2:5" hidden="1" outlineLevel="2" x14ac:dyDescent="0.2">
      <c r="B90" s="27" t="s">
        <v>68</v>
      </c>
      <c r="C90" s="71" t="s">
        <v>60</v>
      </c>
      <c r="D90" s="46"/>
      <c r="E90" s="56"/>
    </row>
    <row r="91" spans="2:5" hidden="1" outlineLevel="2" x14ac:dyDescent="0.2">
      <c r="B91" s="27" t="s">
        <v>69</v>
      </c>
      <c r="C91" s="71" t="s">
        <v>60</v>
      </c>
      <c r="D91" s="46"/>
      <c r="E91" s="56"/>
    </row>
    <row r="92" spans="2:5" hidden="1" outlineLevel="2" x14ac:dyDescent="0.2">
      <c r="B92" s="28" t="s">
        <v>70</v>
      </c>
      <c r="C92" s="74" t="s">
        <v>60</v>
      </c>
      <c r="D92" s="49"/>
      <c r="E92" s="58"/>
    </row>
    <row r="93" spans="2:5" hidden="1" outlineLevel="1" x14ac:dyDescent="0.2">
      <c r="B93" s="139" t="s">
        <v>71</v>
      </c>
      <c r="C93" s="140" t="s">
        <v>60</v>
      </c>
      <c r="D93" s="141">
        <f>SUM(D90:D92)</f>
        <v>0</v>
      </c>
      <c r="E93" s="127">
        <f>SUM(E90:E92)</f>
        <v>0</v>
      </c>
    </row>
    <row r="94" spans="2:5" collapsed="1" x14ac:dyDescent="0.2">
      <c r="B94" s="22" t="s">
        <v>72</v>
      </c>
      <c r="C94" s="77" t="s">
        <v>60</v>
      </c>
      <c r="D94" s="48">
        <f>D89+D93</f>
        <v>0</v>
      </c>
      <c r="E94" s="55">
        <f>E89+E93</f>
        <v>0</v>
      </c>
    </row>
    <row r="95" spans="2:5" x14ac:dyDescent="0.2">
      <c r="B95" s="136" t="s">
        <v>179</v>
      </c>
      <c r="C95" s="137" t="s">
        <v>60</v>
      </c>
      <c r="D95" s="138">
        <f>D83+D94</f>
        <v>0</v>
      </c>
      <c r="E95" s="109">
        <f>E83+E94</f>
        <v>0</v>
      </c>
    </row>
    <row r="96" spans="2:5" hidden="1" outlineLevel="1" x14ac:dyDescent="0.2">
      <c r="B96" s="20" t="s">
        <v>61</v>
      </c>
      <c r="C96" s="77" t="s">
        <v>60</v>
      </c>
      <c r="D96" s="48"/>
      <c r="E96" s="55"/>
    </row>
    <row r="97" spans="1:5" hidden="1" outlineLevel="1" x14ac:dyDescent="0.2">
      <c r="B97" s="20" t="s">
        <v>180</v>
      </c>
      <c r="C97" s="77" t="s">
        <v>60</v>
      </c>
      <c r="D97" s="48"/>
      <c r="E97" s="55"/>
    </row>
    <row r="98" spans="1:5" hidden="1" outlineLevel="1" x14ac:dyDescent="0.2">
      <c r="B98" s="20" t="s">
        <v>181</v>
      </c>
      <c r="C98" s="77" t="s">
        <v>60</v>
      </c>
      <c r="D98" s="48"/>
      <c r="E98" s="55"/>
    </row>
    <row r="99" spans="1:5" collapsed="1" x14ac:dyDescent="0.2">
      <c r="B99" s="22" t="s">
        <v>61</v>
      </c>
      <c r="C99" s="77" t="s">
        <v>60</v>
      </c>
      <c r="D99" s="48">
        <f>SUM(D96:D98)</f>
        <v>0</v>
      </c>
      <c r="E99" s="55">
        <f>SUM(E96:E98)</f>
        <v>0</v>
      </c>
    </row>
    <row r="100" spans="1:5" x14ac:dyDescent="0.2">
      <c r="B100" s="136" t="s">
        <v>73</v>
      </c>
      <c r="C100" s="137" t="s">
        <v>60</v>
      </c>
      <c r="D100" s="138">
        <f>D95+D99</f>
        <v>0</v>
      </c>
      <c r="E100" s="109">
        <f>E95+E99</f>
        <v>0</v>
      </c>
    </row>
    <row r="101" spans="1:5" hidden="1" outlineLevel="1" x14ac:dyDescent="0.2">
      <c r="B101" s="20" t="s">
        <v>182</v>
      </c>
      <c r="C101" s="71" t="s">
        <v>60</v>
      </c>
      <c r="D101" s="46"/>
      <c r="E101" s="53"/>
    </row>
    <row r="102" spans="1:5" hidden="1" outlineLevel="1" x14ac:dyDescent="0.2">
      <c r="B102" s="21" t="s">
        <v>183</v>
      </c>
      <c r="C102" s="76" t="s">
        <v>60</v>
      </c>
      <c r="D102" s="47"/>
      <c r="E102" s="54"/>
    </row>
    <row r="103" spans="1:5" collapsed="1" x14ac:dyDescent="0.2">
      <c r="B103" s="22" t="s">
        <v>75</v>
      </c>
      <c r="C103" s="77" t="s">
        <v>60</v>
      </c>
      <c r="D103" s="48">
        <f>SUM(D101:D102)</f>
        <v>0</v>
      </c>
      <c r="E103" s="55">
        <f>SUM(E101:E102)</f>
        <v>0</v>
      </c>
    </row>
    <row r="104" spans="1:5" x14ac:dyDescent="0.2">
      <c r="B104" s="136" t="s">
        <v>76</v>
      </c>
      <c r="C104" s="137" t="s">
        <v>60</v>
      </c>
      <c r="D104" s="138">
        <f>D100+D103</f>
        <v>0</v>
      </c>
      <c r="E104" s="109">
        <f>E100+E103</f>
        <v>0</v>
      </c>
    </row>
    <row r="105" spans="1:5" x14ac:dyDescent="0.2">
      <c r="B105" s="5"/>
      <c r="C105" s="76"/>
      <c r="D105" s="10"/>
      <c r="E105" s="40"/>
    </row>
    <row r="106" spans="1:5" x14ac:dyDescent="0.2">
      <c r="A106" s="6" t="s">
        <v>191</v>
      </c>
      <c r="B106" s="29"/>
      <c r="C106" s="30"/>
      <c r="D106" s="30"/>
      <c r="E106" s="41"/>
    </row>
    <row r="107" spans="1:5" x14ac:dyDescent="0.2">
      <c r="C107" s="78"/>
      <c r="D107" s="12"/>
      <c r="E107" s="42"/>
    </row>
    <row r="108" spans="1:5" hidden="1" outlineLevel="1" x14ac:dyDescent="0.2">
      <c r="B108" s="31" t="s">
        <v>76</v>
      </c>
      <c r="C108" s="72" t="s">
        <v>60</v>
      </c>
      <c r="D108" s="50">
        <f>D104</f>
        <v>0</v>
      </c>
      <c r="E108" s="66"/>
    </row>
    <row r="109" spans="1:5" hidden="1" outlineLevel="1" x14ac:dyDescent="0.2">
      <c r="B109" s="31" t="s">
        <v>77</v>
      </c>
      <c r="C109" s="72" t="s">
        <v>60</v>
      </c>
      <c r="D109" s="50">
        <f>-D94</f>
        <v>0</v>
      </c>
      <c r="E109" s="66"/>
    </row>
    <row r="110" spans="1:5" hidden="1" outlineLevel="1" x14ac:dyDescent="0.2">
      <c r="B110" s="31" t="s">
        <v>78</v>
      </c>
      <c r="C110" s="72" t="s">
        <v>60</v>
      </c>
      <c r="D110" s="50"/>
      <c r="E110" s="66"/>
    </row>
    <row r="111" spans="1:5" hidden="1" outlineLevel="1" x14ac:dyDescent="0.2">
      <c r="B111" s="31" t="s">
        <v>79</v>
      </c>
      <c r="C111" s="72" t="s">
        <v>60</v>
      </c>
      <c r="D111" s="50">
        <f>-D179</f>
        <v>0</v>
      </c>
      <c r="E111" s="66"/>
    </row>
    <row r="112" spans="1:5" hidden="1" outlineLevel="1" x14ac:dyDescent="0.2">
      <c r="B112" s="31" t="s">
        <v>80</v>
      </c>
      <c r="C112" s="72" t="s">
        <v>60</v>
      </c>
      <c r="D112" s="50"/>
      <c r="E112" s="66"/>
    </row>
    <row r="113" spans="2:5" hidden="1" outlineLevel="1" x14ac:dyDescent="0.2">
      <c r="B113" s="31" t="s">
        <v>81</v>
      </c>
      <c r="C113" s="72" t="s">
        <v>60</v>
      </c>
      <c r="D113" s="50"/>
      <c r="E113" s="66"/>
    </row>
    <row r="114" spans="2:5" hidden="1" outlineLevel="2" x14ac:dyDescent="0.2">
      <c r="B114" s="32" t="s">
        <v>74</v>
      </c>
      <c r="C114" s="72" t="s">
        <v>60</v>
      </c>
      <c r="D114" s="50">
        <f>-D102</f>
        <v>0</v>
      </c>
      <c r="E114" s="66"/>
    </row>
    <row r="115" spans="2:5" hidden="1" outlineLevel="2" x14ac:dyDescent="0.2">
      <c r="B115" s="32" t="s">
        <v>82</v>
      </c>
      <c r="C115" s="72" t="s">
        <v>60</v>
      </c>
      <c r="D115" s="50"/>
      <c r="E115" s="66"/>
    </row>
    <row r="116" spans="2:5" hidden="1" outlineLevel="2" x14ac:dyDescent="0.2">
      <c r="B116" s="32" t="s">
        <v>83</v>
      </c>
      <c r="C116" s="72" t="s">
        <v>60</v>
      </c>
      <c r="D116" s="50"/>
      <c r="E116" s="66"/>
    </row>
    <row r="117" spans="2:5" hidden="1" outlineLevel="2" x14ac:dyDescent="0.2">
      <c r="B117" s="32" t="s">
        <v>84</v>
      </c>
      <c r="C117" s="72" t="s">
        <v>60</v>
      </c>
      <c r="D117" s="50"/>
      <c r="E117" s="66"/>
    </row>
    <row r="118" spans="2:5" hidden="1" outlineLevel="1" collapsed="1" x14ac:dyDescent="0.2">
      <c r="B118" s="31" t="s">
        <v>85</v>
      </c>
      <c r="C118" s="72" t="s">
        <v>60</v>
      </c>
      <c r="D118" s="50">
        <f>SUM(D114:D117)</f>
        <v>0</v>
      </c>
      <c r="E118" s="66"/>
    </row>
    <row r="119" spans="2:5" collapsed="1" x14ac:dyDescent="0.2">
      <c r="B119" s="129" t="s">
        <v>86</v>
      </c>
      <c r="C119" s="130" t="s">
        <v>60</v>
      </c>
      <c r="D119" s="131">
        <f>SUM(D108:D113,D118)</f>
        <v>0</v>
      </c>
      <c r="E119" s="132"/>
    </row>
    <row r="120" spans="2:5" x14ac:dyDescent="0.2">
      <c r="C120" s="72"/>
      <c r="D120" s="12"/>
      <c r="E120" s="43"/>
    </row>
    <row r="121" spans="2:5" hidden="1" outlineLevel="1" x14ac:dyDescent="0.2">
      <c r="B121" s="31" t="s">
        <v>87</v>
      </c>
      <c r="C121" s="72" t="s">
        <v>60</v>
      </c>
      <c r="D121" s="50">
        <f>D188</f>
        <v>0</v>
      </c>
      <c r="E121" s="66"/>
    </row>
    <row r="122" spans="2:5" hidden="1" outlineLevel="1" x14ac:dyDescent="0.2">
      <c r="B122" s="31" t="s">
        <v>88</v>
      </c>
      <c r="C122" s="72" t="s">
        <v>60</v>
      </c>
      <c r="D122" s="50"/>
      <c r="E122" s="66"/>
    </row>
    <row r="123" spans="2:5" hidden="1" outlineLevel="1" x14ac:dyDescent="0.2">
      <c r="B123" s="31" t="s">
        <v>89</v>
      </c>
      <c r="C123" s="72" t="s">
        <v>60</v>
      </c>
      <c r="D123" s="50"/>
      <c r="E123" s="66"/>
    </row>
    <row r="124" spans="2:5" hidden="1" outlineLevel="1" x14ac:dyDescent="0.2">
      <c r="B124" s="31" t="s">
        <v>90</v>
      </c>
      <c r="C124" s="72" t="s">
        <v>60</v>
      </c>
      <c r="D124" s="50"/>
      <c r="E124" s="66"/>
    </row>
    <row r="125" spans="2:5" collapsed="1" x14ac:dyDescent="0.2">
      <c r="B125" s="129" t="s">
        <v>91</v>
      </c>
      <c r="C125" s="130" t="s">
        <v>60</v>
      </c>
      <c r="D125" s="131">
        <f>-SUM(D121:D124)</f>
        <v>0</v>
      </c>
      <c r="E125" s="132"/>
    </row>
    <row r="126" spans="2:5" x14ac:dyDescent="0.2">
      <c r="C126" s="72"/>
      <c r="D126" s="12"/>
      <c r="E126" s="42"/>
    </row>
    <row r="127" spans="2:5" hidden="1" outlineLevel="1" x14ac:dyDescent="0.2">
      <c r="B127" s="31" t="s">
        <v>92</v>
      </c>
      <c r="C127" s="72" t="s">
        <v>60</v>
      </c>
      <c r="D127" s="50"/>
      <c r="E127" s="66"/>
    </row>
    <row r="128" spans="2:5" hidden="1" outlineLevel="1" x14ac:dyDescent="0.2">
      <c r="B128" s="31" t="s">
        <v>93</v>
      </c>
      <c r="C128" s="72" t="s">
        <v>60</v>
      </c>
      <c r="D128" s="50"/>
      <c r="E128" s="66"/>
    </row>
    <row r="129" spans="1:5" hidden="1" outlineLevel="1" x14ac:dyDescent="0.2">
      <c r="B129" s="31" t="s">
        <v>94</v>
      </c>
      <c r="C129" s="72" t="s">
        <v>60</v>
      </c>
      <c r="D129" s="50"/>
      <c r="E129" s="66"/>
    </row>
    <row r="130" spans="1:5" hidden="1" outlineLevel="1" x14ac:dyDescent="0.2">
      <c r="B130" s="31" t="s">
        <v>95</v>
      </c>
      <c r="C130" s="72" t="s">
        <v>60</v>
      </c>
      <c r="D130" s="50"/>
      <c r="E130" s="66"/>
    </row>
    <row r="131" spans="1:5" hidden="1" outlineLevel="1" x14ac:dyDescent="0.2">
      <c r="B131" s="31" t="s">
        <v>96</v>
      </c>
      <c r="C131" s="72" t="s">
        <v>60</v>
      </c>
      <c r="D131" s="50"/>
      <c r="E131" s="66"/>
    </row>
    <row r="132" spans="1:5" hidden="1" outlineLevel="1" x14ac:dyDescent="0.2">
      <c r="B132" s="31" t="s">
        <v>97</v>
      </c>
      <c r="C132" s="72" t="s">
        <v>60</v>
      </c>
      <c r="D132" s="50"/>
      <c r="E132" s="66"/>
    </row>
    <row r="133" spans="1:5" hidden="1" outlineLevel="1" x14ac:dyDescent="0.2">
      <c r="B133" s="31" t="s">
        <v>98</v>
      </c>
      <c r="C133" s="72" t="s">
        <v>60</v>
      </c>
      <c r="D133" s="50"/>
      <c r="E133" s="66"/>
    </row>
    <row r="134" spans="1:5" hidden="1" outlineLevel="1" x14ac:dyDescent="0.2">
      <c r="B134" s="31" t="s">
        <v>99</v>
      </c>
      <c r="C134" s="72" t="s">
        <v>60</v>
      </c>
      <c r="D134" s="50"/>
      <c r="E134" s="66"/>
    </row>
    <row r="135" spans="1:5" hidden="1" outlineLevel="1" x14ac:dyDescent="0.2">
      <c r="B135" s="31" t="s">
        <v>100</v>
      </c>
      <c r="C135" s="72" t="s">
        <v>60</v>
      </c>
      <c r="D135" s="50"/>
      <c r="E135" s="66"/>
    </row>
    <row r="136" spans="1:5" hidden="1" outlineLevel="1" x14ac:dyDescent="0.2">
      <c r="B136" s="31" t="s">
        <v>101</v>
      </c>
      <c r="C136" s="72" t="s">
        <v>60</v>
      </c>
      <c r="D136" s="50"/>
      <c r="E136" s="66"/>
    </row>
    <row r="137" spans="1:5" hidden="1" outlineLevel="1" x14ac:dyDescent="0.2">
      <c r="B137" s="31" t="s">
        <v>53</v>
      </c>
      <c r="C137" s="72" t="s">
        <v>60</v>
      </c>
      <c r="D137" s="50"/>
      <c r="E137" s="66"/>
    </row>
    <row r="138" spans="1:5" collapsed="1" x14ac:dyDescent="0.2">
      <c r="B138" s="129" t="s">
        <v>102</v>
      </c>
      <c r="C138" s="130" t="s">
        <v>60</v>
      </c>
      <c r="D138" s="131">
        <f>SUM(D127:D137)</f>
        <v>0</v>
      </c>
      <c r="E138" s="132"/>
    </row>
    <row r="139" spans="1:5" x14ac:dyDescent="0.2">
      <c r="C139" s="72"/>
      <c r="D139" s="12"/>
      <c r="E139" s="42"/>
    </row>
    <row r="140" spans="1:5" x14ac:dyDescent="0.2">
      <c r="B140" s="33" t="s">
        <v>103</v>
      </c>
      <c r="C140" s="79" t="s">
        <v>60</v>
      </c>
      <c r="D140" s="51">
        <f>D119+D125+D138</f>
        <v>0</v>
      </c>
      <c r="E140" s="114"/>
    </row>
    <row r="141" spans="1:5" x14ac:dyDescent="0.2">
      <c r="C141" s="80"/>
      <c r="D141" s="12"/>
      <c r="E141" s="42"/>
    </row>
    <row r="142" spans="1:5" x14ac:dyDescent="0.2">
      <c r="A142" s="6" t="s">
        <v>190</v>
      </c>
      <c r="B142" s="29"/>
      <c r="C142" s="30"/>
      <c r="D142" s="30"/>
      <c r="E142" s="41"/>
    </row>
    <row r="143" spans="1:5" x14ac:dyDescent="0.2">
      <c r="C143" s="78"/>
      <c r="D143" s="12"/>
      <c r="E143" s="42"/>
    </row>
    <row r="144" spans="1:5" hidden="1" outlineLevel="3" x14ac:dyDescent="0.2">
      <c r="B144" s="95" t="s">
        <v>114</v>
      </c>
      <c r="C144" s="72" t="s">
        <v>60</v>
      </c>
      <c r="D144" s="50"/>
      <c r="E144" s="67"/>
    </row>
    <row r="145" spans="2:5" hidden="1" outlineLevel="3" x14ac:dyDescent="0.2">
      <c r="B145" s="95" t="s">
        <v>115</v>
      </c>
      <c r="C145" s="72" t="s">
        <v>60</v>
      </c>
      <c r="D145" s="50"/>
      <c r="E145" s="67"/>
    </row>
    <row r="146" spans="2:5" hidden="1" outlineLevel="3" x14ac:dyDescent="0.2">
      <c r="B146" s="16" t="s">
        <v>116</v>
      </c>
      <c r="C146" s="73" t="s">
        <v>60</v>
      </c>
      <c r="D146" s="52"/>
      <c r="E146" s="67"/>
    </row>
    <row r="147" spans="2:5" hidden="1" outlineLevel="2" x14ac:dyDescent="0.2">
      <c r="B147" s="90" t="s">
        <v>117</v>
      </c>
      <c r="C147" s="72" t="s">
        <v>60</v>
      </c>
      <c r="D147" s="50">
        <f>SUM(D144:D146)</f>
        <v>0</v>
      </c>
      <c r="E147" s="67"/>
    </row>
    <row r="148" spans="2:5" hidden="1" outlineLevel="4" x14ac:dyDescent="0.2">
      <c r="B148" s="87" t="s">
        <v>39</v>
      </c>
      <c r="C148" s="72" t="s">
        <v>60</v>
      </c>
      <c r="D148" s="69"/>
      <c r="E148" s="67"/>
    </row>
    <row r="149" spans="2:5" hidden="1" outlineLevel="4" x14ac:dyDescent="0.2">
      <c r="B149" s="87" t="s">
        <v>186</v>
      </c>
      <c r="C149" s="72" t="s">
        <v>60</v>
      </c>
      <c r="D149" s="69"/>
      <c r="E149" s="67"/>
    </row>
    <row r="150" spans="2:5" hidden="1" outlineLevel="4" x14ac:dyDescent="0.2">
      <c r="B150" s="88" t="s">
        <v>40</v>
      </c>
      <c r="C150" s="73" t="s">
        <v>60</v>
      </c>
      <c r="D150" s="70"/>
      <c r="E150" s="67"/>
    </row>
    <row r="151" spans="2:5" hidden="1" outlineLevel="3" x14ac:dyDescent="0.2">
      <c r="B151" s="31" t="s">
        <v>118</v>
      </c>
      <c r="C151" s="72" t="s">
        <v>60</v>
      </c>
      <c r="D151" s="69">
        <f>SUM(D148:D150)</f>
        <v>0</v>
      </c>
      <c r="E151" s="67"/>
    </row>
    <row r="152" spans="2:5" hidden="1" outlineLevel="3" x14ac:dyDescent="0.2">
      <c r="B152" s="31" t="s">
        <v>119</v>
      </c>
      <c r="C152" s="72" t="s">
        <v>60</v>
      </c>
      <c r="D152" s="69"/>
      <c r="E152" s="67"/>
    </row>
    <row r="153" spans="2:5" hidden="1" outlineLevel="3" x14ac:dyDescent="0.2">
      <c r="B153" s="89" t="s">
        <v>120</v>
      </c>
      <c r="C153" s="73" t="s">
        <v>60</v>
      </c>
      <c r="D153" s="70"/>
      <c r="E153" s="67"/>
    </row>
    <row r="154" spans="2:5" hidden="1" outlineLevel="2" x14ac:dyDescent="0.2">
      <c r="B154" s="1" t="s">
        <v>187</v>
      </c>
      <c r="C154" s="72" t="s">
        <v>60</v>
      </c>
      <c r="D154" s="50">
        <f>SUM(D151:D153)</f>
        <v>0</v>
      </c>
      <c r="E154" s="67"/>
    </row>
    <row r="155" spans="2:5" hidden="1" outlineLevel="3" x14ac:dyDescent="0.2">
      <c r="B155" s="95" t="s">
        <v>122</v>
      </c>
      <c r="C155" s="72" t="s">
        <v>60</v>
      </c>
      <c r="D155" s="50"/>
      <c r="E155" s="67"/>
    </row>
    <row r="156" spans="2:5" hidden="1" outlineLevel="3" x14ac:dyDescent="0.2">
      <c r="B156" s="96" t="s">
        <v>123</v>
      </c>
      <c r="C156" s="91" t="s">
        <v>60</v>
      </c>
      <c r="D156" s="92"/>
      <c r="E156" s="67"/>
    </row>
    <row r="157" spans="2:5" hidden="1" outlineLevel="2" x14ac:dyDescent="0.2">
      <c r="B157" s="1" t="s">
        <v>123</v>
      </c>
      <c r="C157" s="72" t="s">
        <v>60</v>
      </c>
      <c r="D157" s="50">
        <f>SUM(D155:D156)</f>
        <v>0</v>
      </c>
      <c r="E157" s="67"/>
    </row>
    <row r="158" spans="2:5" hidden="1" outlineLevel="2" x14ac:dyDescent="0.2">
      <c r="B158" s="1" t="s">
        <v>124</v>
      </c>
      <c r="C158" s="72" t="s">
        <v>60</v>
      </c>
      <c r="D158" s="50"/>
      <c r="E158" s="67"/>
    </row>
    <row r="159" spans="2:5" hidden="1" outlineLevel="2" x14ac:dyDescent="0.2">
      <c r="B159" s="1" t="s">
        <v>125</v>
      </c>
      <c r="C159" s="72" t="s">
        <v>60</v>
      </c>
      <c r="D159" s="50"/>
      <c r="E159" s="67"/>
    </row>
    <row r="160" spans="2:5" hidden="1" outlineLevel="2" x14ac:dyDescent="0.2">
      <c r="B160" s="1" t="s">
        <v>126</v>
      </c>
      <c r="C160" s="72" t="s">
        <v>60</v>
      </c>
      <c r="D160" s="50"/>
      <c r="E160" s="67"/>
    </row>
    <row r="161" spans="2:5" hidden="1" outlineLevel="1" x14ac:dyDescent="0.2">
      <c r="B161" s="33" t="s">
        <v>193</v>
      </c>
      <c r="C161" s="79" t="s">
        <v>60</v>
      </c>
      <c r="D161" s="51">
        <f>SUM(D147,D154,D157,D158:D160)</f>
        <v>0</v>
      </c>
      <c r="E161" s="128"/>
    </row>
    <row r="162" spans="2:5" hidden="1" outlineLevel="1" x14ac:dyDescent="0.2">
      <c r="C162" s="72"/>
      <c r="D162" s="12"/>
      <c r="E162" s="42"/>
    </row>
    <row r="163" spans="2:5" hidden="1" outlineLevel="3" x14ac:dyDescent="0.2">
      <c r="B163" s="95" t="s">
        <v>141</v>
      </c>
      <c r="C163" s="72" t="s">
        <v>60</v>
      </c>
      <c r="D163" s="12"/>
      <c r="E163" s="67"/>
    </row>
    <row r="164" spans="2:5" hidden="1" outlineLevel="3" x14ac:dyDescent="0.2">
      <c r="B164" s="16" t="s">
        <v>142</v>
      </c>
      <c r="C164" s="73" t="s">
        <v>60</v>
      </c>
      <c r="D164" s="73"/>
      <c r="E164" s="67"/>
    </row>
    <row r="165" spans="2:5" hidden="1" outlineLevel="2" x14ac:dyDescent="0.2">
      <c r="B165" s="1" t="s">
        <v>143</v>
      </c>
      <c r="C165" s="72" t="s">
        <v>60</v>
      </c>
      <c r="D165" s="50">
        <f>SUM(D163:D164)</f>
        <v>0</v>
      </c>
      <c r="E165" s="67"/>
    </row>
    <row r="166" spans="2:5" hidden="1" outlineLevel="4" x14ac:dyDescent="0.2">
      <c r="B166" s="87" t="s">
        <v>44</v>
      </c>
      <c r="C166" s="72" t="s">
        <v>60</v>
      </c>
      <c r="D166" s="69"/>
      <c r="E166" s="67"/>
    </row>
    <row r="167" spans="2:5" hidden="1" outlineLevel="4" x14ac:dyDescent="0.2">
      <c r="B167" s="88" t="s">
        <v>41</v>
      </c>
      <c r="C167" s="73" t="s">
        <v>60</v>
      </c>
      <c r="D167" s="70"/>
      <c r="E167" s="93"/>
    </row>
    <row r="168" spans="2:5" hidden="1" outlineLevel="3" x14ac:dyDescent="0.2">
      <c r="B168" s="31" t="s">
        <v>144</v>
      </c>
      <c r="C168" s="72" t="s">
        <v>60</v>
      </c>
      <c r="D168" s="50">
        <f>SUM(D166:D167)</f>
        <v>0</v>
      </c>
      <c r="E168" s="67"/>
    </row>
    <row r="169" spans="2:5" hidden="1" outlineLevel="3" x14ac:dyDescent="0.2">
      <c r="B169" s="31" t="s">
        <v>145</v>
      </c>
      <c r="C169" s="72" t="s">
        <v>60</v>
      </c>
      <c r="D169" s="50"/>
      <c r="E169" s="67"/>
    </row>
    <row r="170" spans="2:5" hidden="1" outlineLevel="3" x14ac:dyDescent="0.2">
      <c r="B170" s="89" t="s">
        <v>146</v>
      </c>
      <c r="C170" s="73" t="s">
        <v>60</v>
      </c>
      <c r="D170" s="94"/>
      <c r="E170" s="67"/>
    </row>
    <row r="171" spans="2:5" hidden="1" outlineLevel="2" x14ac:dyDescent="0.2">
      <c r="B171" s="1" t="s">
        <v>188</v>
      </c>
      <c r="C171" s="72" t="s">
        <v>60</v>
      </c>
      <c r="D171" s="50">
        <f>SUM(D168:D170)</f>
        <v>0</v>
      </c>
      <c r="E171" s="67"/>
    </row>
    <row r="172" spans="2:5" hidden="1" outlineLevel="2" x14ac:dyDescent="0.2">
      <c r="B172" s="1" t="s">
        <v>148</v>
      </c>
      <c r="C172" s="72" t="s">
        <v>60</v>
      </c>
      <c r="D172" s="50"/>
      <c r="E172" s="67"/>
    </row>
    <row r="173" spans="2:5" hidden="1" outlineLevel="2" x14ac:dyDescent="0.2">
      <c r="B173" s="1" t="s">
        <v>149</v>
      </c>
      <c r="C173" s="72" t="s">
        <v>60</v>
      </c>
      <c r="D173" s="50"/>
      <c r="E173" s="67"/>
    </row>
    <row r="174" spans="2:5" hidden="1" outlineLevel="2" x14ac:dyDescent="0.2">
      <c r="B174" s="1" t="s">
        <v>150</v>
      </c>
      <c r="C174" s="72" t="s">
        <v>60</v>
      </c>
      <c r="D174" s="50"/>
      <c r="E174" s="67"/>
    </row>
    <row r="175" spans="2:5" hidden="1" outlineLevel="2" x14ac:dyDescent="0.2">
      <c r="B175" s="1" t="s">
        <v>151</v>
      </c>
      <c r="C175" s="72" t="s">
        <v>60</v>
      </c>
      <c r="D175" s="50"/>
      <c r="E175" s="67"/>
    </row>
    <row r="176" spans="2:5" hidden="1" outlineLevel="2" x14ac:dyDescent="0.2">
      <c r="B176" s="1" t="s">
        <v>152</v>
      </c>
      <c r="C176" s="72" t="s">
        <v>60</v>
      </c>
      <c r="D176" s="50"/>
      <c r="E176" s="67"/>
    </row>
    <row r="177" spans="1:5" hidden="1" outlineLevel="1" x14ac:dyDescent="0.2">
      <c r="B177" s="33" t="s">
        <v>194</v>
      </c>
      <c r="C177" s="79" t="s">
        <v>60</v>
      </c>
      <c r="D177" s="51">
        <f>SUM(D165,D171,D172:D176)</f>
        <v>0</v>
      </c>
      <c r="E177" s="128"/>
    </row>
    <row r="178" spans="1:5" hidden="1" outlineLevel="1" x14ac:dyDescent="0.2">
      <c r="C178" s="72"/>
      <c r="D178" s="12"/>
      <c r="E178" s="42"/>
    </row>
    <row r="179" spans="1:5" collapsed="1" x14ac:dyDescent="0.2">
      <c r="B179" s="33" t="s">
        <v>184</v>
      </c>
      <c r="C179" s="133" t="s">
        <v>60</v>
      </c>
      <c r="D179" s="51">
        <f>D161-D177</f>
        <v>0</v>
      </c>
      <c r="E179" s="134"/>
    </row>
    <row r="180" spans="1:5" x14ac:dyDescent="0.2">
      <c r="C180" s="72"/>
      <c r="D180" s="12"/>
      <c r="E180" s="42"/>
    </row>
    <row r="181" spans="1:5" x14ac:dyDescent="0.2">
      <c r="B181" s="33" t="s">
        <v>192</v>
      </c>
      <c r="C181" s="133" t="s">
        <v>60</v>
      </c>
      <c r="D181" s="51" t="e">
        <f>D221-D257</f>
        <v>#VALUE!</v>
      </c>
      <c r="E181" s="134"/>
    </row>
    <row r="182" spans="1:5" x14ac:dyDescent="0.2">
      <c r="C182" s="84"/>
      <c r="D182" s="85"/>
      <c r="E182" s="86"/>
    </row>
    <row r="183" spans="1:5" x14ac:dyDescent="0.2">
      <c r="A183" s="6" t="s">
        <v>87</v>
      </c>
      <c r="B183" s="29"/>
      <c r="C183" s="30"/>
      <c r="D183" s="30"/>
      <c r="E183" s="41"/>
    </row>
    <row r="184" spans="1:5" x14ac:dyDescent="0.2">
      <c r="C184" s="78"/>
      <c r="D184" s="12"/>
      <c r="E184" s="42"/>
    </row>
    <row r="185" spans="1:5" hidden="1" outlineLevel="1" x14ac:dyDescent="0.2">
      <c r="B185" s="34" t="s">
        <v>104</v>
      </c>
      <c r="C185" s="83"/>
      <c r="D185" s="35"/>
      <c r="E185" s="105"/>
    </row>
    <row r="186" spans="1:5" hidden="1" outlineLevel="1" x14ac:dyDescent="0.2">
      <c r="C186" s="81"/>
      <c r="D186" s="50"/>
      <c r="E186" s="68"/>
    </row>
    <row r="187" spans="1:5" hidden="1" outlineLevel="1" x14ac:dyDescent="0.2">
      <c r="C187" s="82"/>
      <c r="D187" s="50"/>
      <c r="E187" s="68"/>
    </row>
    <row r="188" spans="1:5" collapsed="1" x14ac:dyDescent="0.2">
      <c r="B188" s="33" t="s">
        <v>105</v>
      </c>
      <c r="C188" s="135" t="s">
        <v>60</v>
      </c>
      <c r="D188" s="51">
        <f>SUM(D186:D187)</f>
        <v>0</v>
      </c>
      <c r="E188" s="128"/>
    </row>
    <row r="189" spans="1:5" ht="13.5" customHeight="1" x14ac:dyDescent="0.2">
      <c r="C189" s="80"/>
      <c r="D189" s="12"/>
      <c r="E189" s="42"/>
    </row>
    <row r="190" spans="1:5" x14ac:dyDescent="0.2">
      <c r="A190" s="6" t="s">
        <v>106</v>
      </c>
      <c r="B190" s="7"/>
      <c r="C190" s="8"/>
      <c r="D190" s="8"/>
      <c r="E190" s="39"/>
    </row>
    <row r="191" spans="1:5" x14ac:dyDescent="0.2">
      <c r="B191" s="5"/>
      <c r="C191" s="75"/>
      <c r="D191" s="10"/>
      <c r="E191" s="40"/>
    </row>
    <row r="192" spans="1:5" hidden="1" outlineLevel="2" x14ac:dyDescent="0.2">
      <c r="B192" s="9" t="s">
        <v>107</v>
      </c>
      <c r="C192" s="71" t="s">
        <v>60</v>
      </c>
      <c r="D192" s="46" t="e">
        <f>C192+D94+D188</f>
        <v>#VALUE!</v>
      </c>
      <c r="E192" s="53"/>
    </row>
    <row r="193" spans="2:5" hidden="1" outlineLevel="2" x14ac:dyDescent="0.2">
      <c r="B193" s="9" t="s">
        <v>108</v>
      </c>
      <c r="C193" s="71" t="s">
        <v>60</v>
      </c>
      <c r="D193" s="46" t="str">
        <f>C193</f>
        <v>€</v>
      </c>
      <c r="E193" s="53"/>
    </row>
    <row r="194" spans="2:5" hidden="1" outlineLevel="2" x14ac:dyDescent="0.2">
      <c r="B194" s="31" t="s">
        <v>90</v>
      </c>
      <c r="C194" s="72" t="s">
        <v>60</v>
      </c>
      <c r="D194" s="50" t="str">
        <f t="shared" ref="D194:D200" si="0">C194</f>
        <v>€</v>
      </c>
      <c r="E194" s="59"/>
    </row>
    <row r="195" spans="2:5" hidden="1" outlineLevel="3" x14ac:dyDescent="0.2">
      <c r="B195" s="87" t="s">
        <v>109</v>
      </c>
      <c r="C195" s="72" t="s">
        <v>60</v>
      </c>
      <c r="D195" s="69" t="str">
        <f t="shared" si="0"/>
        <v>€</v>
      </c>
      <c r="E195" s="59"/>
    </row>
    <row r="196" spans="2:5" hidden="1" outlineLevel="3" x14ac:dyDescent="0.2">
      <c r="B196" s="87" t="s">
        <v>110</v>
      </c>
      <c r="C196" s="72" t="s">
        <v>60</v>
      </c>
      <c r="D196" s="69" t="str">
        <f t="shared" si="0"/>
        <v>€</v>
      </c>
      <c r="E196" s="59"/>
    </row>
    <row r="197" spans="2:5" hidden="1" outlineLevel="3" x14ac:dyDescent="0.2">
      <c r="B197" s="88" t="s">
        <v>111</v>
      </c>
      <c r="C197" s="73" t="s">
        <v>60</v>
      </c>
      <c r="D197" s="70" t="str">
        <f t="shared" si="0"/>
        <v>€</v>
      </c>
      <c r="E197" s="60"/>
    </row>
    <row r="198" spans="2:5" hidden="1" outlineLevel="2" collapsed="1" x14ac:dyDescent="0.2">
      <c r="B198" s="31" t="s">
        <v>111</v>
      </c>
      <c r="C198" s="72" t="s">
        <v>60</v>
      </c>
      <c r="D198" s="50">
        <f>SUM(D195:D197)</f>
        <v>0</v>
      </c>
      <c r="E198" s="59">
        <f>SUM(E195:E197)</f>
        <v>0</v>
      </c>
    </row>
    <row r="199" spans="2:5" hidden="1" outlineLevel="2" x14ac:dyDescent="0.2">
      <c r="B199" s="31" t="s">
        <v>112</v>
      </c>
      <c r="C199" s="72" t="s">
        <v>60</v>
      </c>
      <c r="D199" s="50" t="e">
        <f>C199-D114</f>
        <v>#VALUE!</v>
      </c>
      <c r="E199" s="59"/>
    </row>
    <row r="200" spans="2:5" hidden="1" outlineLevel="2" x14ac:dyDescent="0.2">
      <c r="B200" s="31" t="s">
        <v>113</v>
      </c>
      <c r="C200" s="72" t="s">
        <v>60</v>
      </c>
      <c r="D200" s="50" t="str">
        <f t="shared" si="0"/>
        <v>€</v>
      </c>
      <c r="E200" s="59"/>
    </row>
    <row r="201" spans="2:5" hidden="1" outlineLevel="1" collapsed="1" x14ac:dyDescent="0.2">
      <c r="B201" s="129" t="s">
        <v>195</v>
      </c>
      <c r="C201" s="130" t="s">
        <v>60</v>
      </c>
      <c r="D201" s="131" t="e">
        <f>SUM(D192:D194,D198,D199:D200)</f>
        <v>#VALUE!</v>
      </c>
      <c r="E201" s="107">
        <f>SUM(E192:E194,E198,E199:E200)</f>
        <v>0</v>
      </c>
    </row>
    <row r="202" spans="2:5" s="45" customFormat="1" hidden="1" outlineLevel="1" x14ac:dyDescent="0.2">
      <c r="B202" s="99"/>
      <c r="C202" s="100"/>
      <c r="D202" s="101"/>
      <c r="E202" s="102"/>
    </row>
    <row r="203" spans="2:5" hidden="1" outlineLevel="3" x14ac:dyDescent="0.2">
      <c r="B203" s="87" t="s">
        <v>114</v>
      </c>
      <c r="C203" s="72" t="s">
        <v>60</v>
      </c>
      <c r="D203" s="50" t="e">
        <f>C203+D144</f>
        <v>#VALUE!</v>
      </c>
      <c r="E203" s="59"/>
    </row>
    <row r="204" spans="2:5" hidden="1" outlineLevel="3" x14ac:dyDescent="0.2">
      <c r="B204" s="87" t="s">
        <v>115</v>
      </c>
      <c r="C204" s="72" t="s">
        <v>60</v>
      </c>
      <c r="D204" s="50" t="e">
        <f t="shared" ref="D204:D205" si="1">C204+D145</f>
        <v>#VALUE!</v>
      </c>
      <c r="E204" s="59"/>
    </row>
    <row r="205" spans="2:5" hidden="1" outlineLevel="3" x14ac:dyDescent="0.2">
      <c r="B205" s="88" t="s">
        <v>116</v>
      </c>
      <c r="C205" s="73" t="s">
        <v>60</v>
      </c>
      <c r="D205" s="52" t="e">
        <f t="shared" si="1"/>
        <v>#VALUE!</v>
      </c>
      <c r="E205" s="60"/>
    </row>
    <row r="206" spans="2:5" hidden="1" outlineLevel="2" collapsed="1" x14ac:dyDescent="0.2">
      <c r="B206" s="31" t="s">
        <v>117</v>
      </c>
      <c r="C206" s="72" t="s">
        <v>60</v>
      </c>
      <c r="D206" s="50" t="e">
        <f>SUM(D203:D205)</f>
        <v>#VALUE!</v>
      </c>
      <c r="E206" s="59">
        <f>SUM(E203:E205)</f>
        <v>0</v>
      </c>
    </row>
    <row r="207" spans="2:5" hidden="1" outlineLevel="4" x14ac:dyDescent="0.2">
      <c r="B207" s="97" t="s">
        <v>39</v>
      </c>
      <c r="C207" s="72" t="s">
        <v>60</v>
      </c>
      <c r="D207" s="69" t="e">
        <f>C207+D148</f>
        <v>#VALUE!</v>
      </c>
      <c r="E207" s="59"/>
    </row>
    <row r="208" spans="2:5" hidden="1" outlineLevel="4" x14ac:dyDescent="0.2">
      <c r="B208" s="97" t="s">
        <v>186</v>
      </c>
      <c r="C208" s="72" t="s">
        <v>60</v>
      </c>
      <c r="D208" s="69" t="e">
        <f t="shared" ref="D208:D209" si="2">C208+D149</f>
        <v>#VALUE!</v>
      </c>
      <c r="E208" s="59"/>
    </row>
    <row r="209" spans="2:5" hidden="1" outlineLevel="4" x14ac:dyDescent="0.2">
      <c r="B209" s="98" t="s">
        <v>40</v>
      </c>
      <c r="C209" s="73" t="s">
        <v>60</v>
      </c>
      <c r="D209" s="70" t="e">
        <f t="shared" si="2"/>
        <v>#VALUE!</v>
      </c>
      <c r="E209" s="106"/>
    </row>
    <row r="210" spans="2:5" hidden="1" outlineLevel="3" collapsed="1" x14ac:dyDescent="0.2">
      <c r="B210" s="32" t="s">
        <v>118</v>
      </c>
      <c r="C210" s="72" t="s">
        <v>60</v>
      </c>
      <c r="D210" s="50" t="e">
        <f>C210+D151</f>
        <v>#VALUE!</v>
      </c>
      <c r="E210" s="59"/>
    </row>
    <row r="211" spans="2:5" hidden="1" outlineLevel="3" x14ac:dyDescent="0.2">
      <c r="B211" s="32" t="s">
        <v>119</v>
      </c>
      <c r="C211" s="72" t="s">
        <v>60</v>
      </c>
      <c r="D211" s="50" t="e">
        <f>C211+D152</f>
        <v>#VALUE!</v>
      </c>
      <c r="E211" s="59"/>
    </row>
    <row r="212" spans="2:5" hidden="1" outlineLevel="3" x14ac:dyDescent="0.2">
      <c r="B212" s="36" t="s">
        <v>120</v>
      </c>
      <c r="C212" s="73" t="s">
        <v>60</v>
      </c>
      <c r="D212" s="52" t="e">
        <f>C212+D153</f>
        <v>#VALUE!</v>
      </c>
      <c r="E212" s="60"/>
    </row>
    <row r="213" spans="2:5" hidden="1" outlineLevel="2" collapsed="1" x14ac:dyDescent="0.2">
      <c r="B213" s="31" t="s">
        <v>121</v>
      </c>
      <c r="C213" s="72" t="s">
        <v>60</v>
      </c>
      <c r="D213" s="50" t="e">
        <f>SUM(D210:D212)</f>
        <v>#VALUE!</v>
      </c>
      <c r="E213" s="59">
        <f>SUM(E210:E212)</f>
        <v>0</v>
      </c>
    </row>
    <row r="214" spans="2:5" hidden="1" outlineLevel="3" x14ac:dyDescent="0.2">
      <c r="B214" s="87" t="s">
        <v>122</v>
      </c>
      <c r="C214" s="72" t="s">
        <v>60</v>
      </c>
      <c r="D214" s="50" t="e">
        <f>C214+D155</f>
        <v>#VALUE!</v>
      </c>
      <c r="E214" s="59"/>
    </row>
    <row r="215" spans="2:5" hidden="1" outlineLevel="3" x14ac:dyDescent="0.2">
      <c r="B215" s="88" t="s">
        <v>123</v>
      </c>
      <c r="C215" s="73" t="s">
        <v>60</v>
      </c>
      <c r="D215" s="52" t="e">
        <f>C215+D156</f>
        <v>#VALUE!</v>
      </c>
      <c r="E215" s="60"/>
    </row>
    <row r="216" spans="2:5" hidden="1" outlineLevel="2" collapsed="1" x14ac:dyDescent="0.2">
      <c r="B216" s="31" t="s">
        <v>123</v>
      </c>
      <c r="C216" s="72" t="s">
        <v>60</v>
      </c>
      <c r="D216" s="50" t="e">
        <f>SUM(D214:D215)</f>
        <v>#VALUE!</v>
      </c>
      <c r="E216" s="59">
        <f>SUM(E214:E215)</f>
        <v>0</v>
      </c>
    </row>
    <row r="217" spans="2:5" hidden="1" outlineLevel="2" x14ac:dyDescent="0.2">
      <c r="B217" s="31" t="s">
        <v>124</v>
      </c>
      <c r="C217" s="72" t="s">
        <v>60</v>
      </c>
      <c r="D217" s="50" t="e">
        <f>C217+D158</f>
        <v>#VALUE!</v>
      </c>
      <c r="E217" s="59"/>
    </row>
    <row r="218" spans="2:5" hidden="1" outlineLevel="2" x14ac:dyDescent="0.2">
      <c r="B218" s="31" t="s">
        <v>125</v>
      </c>
      <c r="C218" s="72" t="s">
        <v>60</v>
      </c>
      <c r="D218" s="50" t="e">
        <f t="shared" ref="D218:D219" si="3">C218+D159</f>
        <v>#VALUE!</v>
      </c>
      <c r="E218" s="59"/>
    </row>
    <row r="219" spans="2:5" hidden="1" outlineLevel="2" x14ac:dyDescent="0.2">
      <c r="B219" s="31" t="s">
        <v>126</v>
      </c>
      <c r="C219" s="72" t="s">
        <v>60</v>
      </c>
      <c r="D219" s="50" t="e">
        <f t="shared" si="3"/>
        <v>#VALUE!</v>
      </c>
      <c r="E219" s="59"/>
    </row>
    <row r="220" spans="2:5" hidden="1" outlineLevel="2" x14ac:dyDescent="0.2">
      <c r="B220" s="31" t="s">
        <v>127</v>
      </c>
      <c r="C220" s="72" t="s">
        <v>60</v>
      </c>
      <c r="D220" s="50" t="e">
        <f>C220+D140</f>
        <v>#VALUE!</v>
      </c>
      <c r="E220" s="59"/>
    </row>
    <row r="221" spans="2:5" hidden="1" outlineLevel="1" collapsed="1" x14ac:dyDescent="0.2">
      <c r="B221" s="129" t="s">
        <v>196</v>
      </c>
      <c r="C221" s="130" t="s">
        <v>60</v>
      </c>
      <c r="D221" s="131" t="e">
        <f>SUM(D206,D213,D216,D217:D220)</f>
        <v>#VALUE!</v>
      </c>
      <c r="E221" s="107">
        <f>SUM(E206,E213,E216,E217:E220)</f>
        <v>0</v>
      </c>
    </row>
    <row r="222" spans="2:5" s="45" customFormat="1" hidden="1" outlineLevel="1" x14ac:dyDescent="0.2">
      <c r="B222" s="99"/>
      <c r="C222" s="100"/>
      <c r="D222" s="101"/>
      <c r="E222" s="102"/>
    </row>
    <row r="223" spans="2:5" collapsed="1" x14ac:dyDescent="0.2">
      <c r="B223" s="33" t="s">
        <v>197</v>
      </c>
      <c r="C223" s="79" t="s">
        <v>60</v>
      </c>
      <c r="D223" s="51" t="e">
        <f>ROUND(D201+D221,0)</f>
        <v>#VALUE!</v>
      </c>
      <c r="E223" s="108">
        <f>ROUND(E201+E221,0)</f>
        <v>0</v>
      </c>
    </row>
    <row r="224" spans="2:5" x14ac:dyDescent="0.2">
      <c r="C224" s="72"/>
      <c r="D224" s="12"/>
      <c r="E224" s="42"/>
    </row>
    <row r="225" spans="2:5" hidden="1" outlineLevel="2" x14ac:dyDescent="0.2">
      <c r="B225" s="31" t="s">
        <v>128</v>
      </c>
      <c r="C225" s="72" t="s">
        <v>60</v>
      </c>
      <c r="D225" s="50" t="str">
        <f>C225</f>
        <v>€</v>
      </c>
      <c r="E225" s="59"/>
    </row>
    <row r="226" spans="2:5" hidden="1" outlineLevel="2" x14ac:dyDescent="0.2">
      <c r="B226" s="31" t="s">
        <v>129</v>
      </c>
      <c r="C226" s="72" t="s">
        <v>60</v>
      </c>
      <c r="D226" s="50" t="str">
        <f t="shared" ref="D226:D239" si="4">C226</f>
        <v>€</v>
      </c>
      <c r="E226" s="59"/>
    </row>
    <row r="227" spans="2:5" hidden="1" outlineLevel="2" x14ac:dyDescent="0.2">
      <c r="B227" s="31" t="s">
        <v>130</v>
      </c>
      <c r="C227" s="72" t="s">
        <v>60</v>
      </c>
      <c r="D227" s="50" t="str">
        <f t="shared" si="4"/>
        <v>€</v>
      </c>
      <c r="E227" s="59"/>
    </row>
    <row r="228" spans="2:5" hidden="1" outlineLevel="2" x14ac:dyDescent="0.2">
      <c r="B228" s="31" t="s">
        <v>131</v>
      </c>
      <c r="C228" s="72" t="s">
        <v>60</v>
      </c>
      <c r="D228" s="50" t="str">
        <f t="shared" si="4"/>
        <v>€</v>
      </c>
      <c r="E228" s="59"/>
    </row>
    <row r="229" spans="2:5" hidden="1" outlineLevel="2" x14ac:dyDescent="0.2">
      <c r="B229" s="31" t="s">
        <v>132</v>
      </c>
      <c r="C229" s="72" t="s">
        <v>60</v>
      </c>
      <c r="D229" s="50" t="str">
        <f t="shared" si="4"/>
        <v>€</v>
      </c>
      <c r="E229" s="59"/>
    </row>
    <row r="230" spans="2:5" hidden="1" outlineLevel="2" x14ac:dyDescent="0.2">
      <c r="B230" s="31" t="s">
        <v>189</v>
      </c>
      <c r="C230" s="72" t="s">
        <v>60</v>
      </c>
      <c r="D230" s="50" t="str">
        <f t="shared" si="4"/>
        <v>€</v>
      </c>
      <c r="E230" s="59"/>
    </row>
    <row r="231" spans="2:5" hidden="1" outlineLevel="1" collapsed="1" x14ac:dyDescent="0.2">
      <c r="B231" s="129" t="s">
        <v>198</v>
      </c>
      <c r="C231" s="130" t="s">
        <v>60</v>
      </c>
      <c r="D231" s="131">
        <f>SUM(D225:D230)</f>
        <v>0</v>
      </c>
      <c r="E231" s="107">
        <f>SUM(E225:E230)</f>
        <v>0</v>
      </c>
    </row>
    <row r="232" spans="2:5" s="45" customFormat="1" hidden="1" outlineLevel="1" x14ac:dyDescent="0.2">
      <c r="B232" s="99"/>
      <c r="C232" s="100"/>
      <c r="D232" s="101"/>
      <c r="E232" s="102"/>
    </row>
    <row r="233" spans="2:5" hidden="1" outlineLevel="3" x14ac:dyDescent="0.2">
      <c r="B233" s="87" t="s">
        <v>133</v>
      </c>
      <c r="C233" s="72" t="s">
        <v>60</v>
      </c>
      <c r="D233" s="69" t="str">
        <f t="shared" si="4"/>
        <v>€</v>
      </c>
      <c r="E233" s="59"/>
    </row>
    <row r="234" spans="2:5" hidden="1" outlineLevel="3" x14ac:dyDescent="0.2">
      <c r="B234" s="88" t="s">
        <v>134</v>
      </c>
      <c r="C234" s="73" t="s">
        <v>60</v>
      </c>
      <c r="D234" s="70" t="str">
        <f t="shared" si="4"/>
        <v>€</v>
      </c>
      <c r="E234" s="60"/>
    </row>
    <row r="235" spans="2:5" hidden="1" outlineLevel="2" collapsed="1" x14ac:dyDescent="0.2">
      <c r="B235" s="31" t="s">
        <v>135</v>
      </c>
      <c r="C235" s="72" t="s">
        <v>60</v>
      </c>
      <c r="D235" s="50">
        <f>SUM(D233:D234)</f>
        <v>0</v>
      </c>
      <c r="E235" s="59">
        <f>SUM(E233:E234)</f>
        <v>0</v>
      </c>
    </row>
    <row r="236" spans="2:5" hidden="1" outlineLevel="2" x14ac:dyDescent="0.2">
      <c r="B236" s="31" t="s">
        <v>136</v>
      </c>
      <c r="C236" s="72" t="s">
        <v>60</v>
      </c>
      <c r="D236" s="50" t="str">
        <f t="shared" si="4"/>
        <v>€</v>
      </c>
      <c r="E236" s="59"/>
    </row>
    <row r="237" spans="2:5" hidden="1" outlineLevel="2" x14ac:dyDescent="0.2">
      <c r="B237" s="31" t="s">
        <v>137</v>
      </c>
      <c r="C237" s="72" t="s">
        <v>60</v>
      </c>
      <c r="D237" s="50" t="str">
        <f t="shared" si="4"/>
        <v>€</v>
      </c>
      <c r="E237" s="59"/>
    </row>
    <row r="238" spans="2:5" hidden="1" outlineLevel="2" x14ac:dyDescent="0.2">
      <c r="B238" s="31" t="s">
        <v>138</v>
      </c>
      <c r="C238" s="72" t="s">
        <v>60</v>
      </c>
      <c r="D238" s="50" t="e">
        <f>C238+D112</f>
        <v>#VALUE!</v>
      </c>
      <c r="E238" s="59"/>
    </row>
    <row r="239" spans="2:5" hidden="1" outlineLevel="2" x14ac:dyDescent="0.2">
      <c r="B239" s="31" t="s">
        <v>139</v>
      </c>
      <c r="C239" s="72" t="s">
        <v>60</v>
      </c>
      <c r="D239" s="50" t="str">
        <f t="shared" si="4"/>
        <v>€</v>
      </c>
      <c r="E239" s="59"/>
    </row>
    <row r="240" spans="2:5" hidden="1" outlineLevel="2" x14ac:dyDescent="0.2">
      <c r="B240" s="31" t="s">
        <v>140</v>
      </c>
      <c r="C240" s="72" t="s">
        <v>60</v>
      </c>
      <c r="D240" s="50" t="e">
        <f>C240+D137</f>
        <v>#VALUE!</v>
      </c>
      <c r="E240" s="59"/>
    </row>
    <row r="241" spans="2:5" hidden="1" outlineLevel="1" collapsed="1" x14ac:dyDescent="0.2">
      <c r="B241" s="129" t="s">
        <v>199</v>
      </c>
      <c r="C241" s="130" t="s">
        <v>60</v>
      </c>
      <c r="D241" s="131" t="e">
        <f>SUM(D235,D236:D240)</f>
        <v>#VALUE!</v>
      </c>
      <c r="E241" s="107">
        <f>SUM(E235,E236:E240)</f>
        <v>0</v>
      </c>
    </row>
    <row r="242" spans="2:5" s="45" customFormat="1" hidden="1" outlineLevel="1" x14ac:dyDescent="0.2">
      <c r="B242" s="99"/>
      <c r="C242" s="100"/>
      <c r="D242" s="101"/>
      <c r="E242" s="102"/>
    </row>
    <row r="243" spans="2:5" hidden="1" outlineLevel="3" x14ac:dyDescent="0.2">
      <c r="B243" s="87" t="s">
        <v>141</v>
      </c>
      <c r="C243" s="72" t="s">
        <v>60</v>
      </c>
      <c r="D243" s="50" t="e">
        <f>C243+D163</f>
        <v>#VALUE!</v>
      </c>
      <c r="E243" s="59"/>
    </row>
    <row r="244" spans="2:5" hidden="1" outlineLevel="3" x14ac:dyDescent="0.2">
      <c r="B244" s="88" t="s">
        <v>142</v>
      </c>
      <c r="C244" s="73" t="s">
        <v>60</v>
      </c>
      <c r="D244" s="52" t="e">
        <f>C244+D164</f>
        <v>#VALUE!</v>
      </c>
      <c r="E244" s="60"/>
    </row>
    <row r="245" spans="2:5" hidden="1" outlineLevel="2" x14ac:dyDescent="0.2">
      <c r="B245" s="31" t="s">
        <v>143</v>
      </c>
      <c r="C245" s="72" t="s">
        <v>60</v>
      </c>
      <c r="D245" s="50" t="e">
        <f>SUM(D243:D244)</f>
        <v>#VALUE!</v>
      </c>
      <c r="E245" s="59">
        <f>SUM(E243:E244)</f>
        <v>0</v>
      </c>
    </row>
    <row r="246" spans="2:5" hidden="1" outlineLevel="4" x14ac:dyDescent="0.2">
      <c r="B246" s="97" t="s">
        <v>44</v>
      </c>
      <c r="C246" s="72" t="s">
        <v>60</v>
      </c>
      <c r="D246" s="50" t="e">
        <f>C246+D166</f>
        <v>#VALUE!</v>
      </c>
      <c r="E246" s="59"/>
    </row>
    <row r="247" spans="2:5" hidden="1" outlineLevel="4" x14ac:dyDescent="0.2">
      <c r="B247" s="98" t="s">
        <v>41</v>
      </c>
      <c r="C247" s="73" t="s">
        <v>60</v>
      </c>
      <c r="D247" s="94" t="e">
        <f>C247+D167</f>
        <v>#VALUE!</v>
      </c>
      <c r="E247" s="60"/>
    </row>
    <row r="248" spans="2:5" hidden="1" outlineLevel="3" x14ac:dyDescent="0.2">
      <c r="B248" s="32" t="s">
        <v>144</v>
      </c>
      <c r="C248" s="72" t="s">
        <v>60</v>
      </c>
      <c r="D248" s="50" t="e">
        <f>C248+D168</f>
        <v>#VALUE!</v>
      </c>
      <c r="E248" s="59"/>
    </row>
    <row r="249" spans="2:5" hidden="1" outlineLevel="3" x14ac:dyDescent="0.2">
      <c r="B249" s="32" t="s">
        <v>145</v>
      </c>
      <c r="C249" s="72" t="s">
        <v>60</v>
      </c>
      <c r="D249" s="50" t="e">
        <f>C249+D169</f>
        <v>#VALUE!</v>
      </c>
      <c r="E249" s="59"/>
    </row>
    <row r="250" spans="2:5" hidden="1" outlineLevel="3" x14ac:dyDescent="0.2">
      <c r="B250" s="36" t="s">
        <v>146</v>
      </c>
      <c r="C250" s="73" t="s">
        <v>60</v>
      </c>
      <c r="D250" s="52" t="e">
        <f>C250+D170</f>
        <v>#VALUE!</v>
      </c>
      <c r="E250" s="60"/>
    </row>
    <row r="251" spans="2:5" hidden="1" outlineLevel="2" x14ac:dyDescent="0.2">
      <c r="B251" s="31" t="s">
        <v>147</v>
      </c>
      <c r="C251" s="72" t="s">
        <v>60</v>
      </c>
      <c r="D251" s="50" t="e">
        <f>SUM(D248:D250)</f>
        <v>#VALUE!</v>
      </c>
      <c r="E251" s="59">
        <f>SUM(E248:E250)</f>
        <v>0</v>
      </c>
    </row>
    <row r="252" spans="2:5" hidden="1" outlineLevel="2" x14ac:dyDescent="0.2">
      <c r="B252" s="31" t="s">
        <v>148</v>
      </c>
      <c r="C252" s="72" t="s">
        <v>60</v>
      </c>
      <c r="D252" s="50" t="e">
        <f>C252+D172</f>
        <v>#VALUE!</v>
      </c>
      <c r="E252" s="59"/>
    </row>
    <row r="253" spans="2:5" hidden="1" outlineLevel="2" x14ac:dyDescent="0.2">
      <c r="B253" s="31" t="s">
        <v>149</v>
      </c>
      <c r="C253" s="72" t="s">
        <v>60</v>
      </c>
      <c r="D253" s="50" t="e">
        <f t="shared" ref="D253:D256" si="5">C253+D173</f>
        <v>#VALUE!</v>
      </c>
      <c r="E253" s="59"/>
    </row>
    <row r="254" spans="2:5" hidden="1" outlineLevel="2" x14ac:dyDescent="0.2">
      <c r="B254" s="31" t="s">
        <v>150</v>
      </c>
      <c r="C254" s="72" t="s">
        <v>60</v>
      </c>
      <c r="D254" s="50" t="e">
        <f t="shared" si="5"/>
        <v>#VALUE!</v>
      </c>
      <c r="E254" s="59"/>
    </row>
    <row r="255" spans="2:5" hidden="1" outlineLevel="2" x14ac:dyDescent="0.2">
      <c r="B255" s="31" t="s">
        <v>151</v>
      </c>
      <c r="C255" s="72" t="s">
        <v>60</v>
      </c>
      <c r="D255" s="50" t="e">
        <f t="shared" si="5"/>
        <v>#VALUE!</v>
      </c>
      <c r="E255" s="59"/>
    </row>
    <row r="256" spans="2:5" hidden="1" outlineLevel="2" x14ac:dyDescent="0.2">
      <c r="B256" s="31" t="s">
        <v>152</v>
      </c>
      <c r="C256" s="72" t="s">
        <v>60</v>
      </c>
      <c r="D256" s="50" t="e">
        <f t="shared" si="5"/>
        <v>#VALUE!</v>
      </c>
      <c r="E256" s="59"/>
    </row>
    <row r="257" spans="1:5" hidden="1" outlineLevel="1" x14ac:dyDescent="0.2">
      <c r="B257" s="129" t="s">
        <v>200</v>
      </c>
      <c r="C257" s="130" t="s">
        <v>60</v>
      </c>
      <c r="D257" s="131" t="e">
        <f>SUM(D245,D251,D252:D256)</f>
        <v>#VALUE!</v>
      </c>
      <c r="E257" s="107">
        <f>SUM(E245,E251,E252:E256)</f>
        <v>0</v>
      </c>
    </row>
    <row r="258" spans="1:5" s="45" customFormat="1" hidden="1" outlineLevel="1" x14ac:dyDescent="0.2">
      <c r="B258" s="99"/>
      <c r="C258" s="100"/>
      <c r="D258" s="101"/>
      <c r="E258" s="102"/>
    </row>
    <row r="259" spans="1:5" collapsed="1" x14ac:dyDescent="0.2">
      <c r="B259" s="33" t="s">
        <v>201</v>
      </c>
      <c r="C259" s="79" t="s">
        <v>60</v>
      </c>
      <c r="D259" s="51" t="e">
        <f>ROUND(D231+D241+D257,0)</f>
        <v>#VALUE!</v>
      </c>
      <c r="E259" s="108">
        <f>ROUND(E231+E241+E257,0)</f>
        <v>0</v>
      </c>
    </row>
    <row r="260" spans="1:5" x14ac:dyDescent="0.2">
      <c r="A260" s="37"/>
      <c r="B260" s="37"/>
      <c r="C260" s="80"/>
      <c r="D260" s="38"/>
      <c r="E260" s="44"/>
    </row>
    <row r="261" spans="1:5" x14ac:dyDescent="0.2">
      <c r="A261" s="6" t="s">
        <v>153</v>
      </c>
      <c r="B261" s="7"/>
      <c r="C261" s="8"/>
      <c r="D261" s="8"/>
      <c r="E261" s="39"/>
    </row>
    <row r="263" spans="1:5" ht="15.75" x14ac:dyDescent="0.2">
      <c r="A263" s="103"/>
      <c r="C263" s="104" t="s">
        <v>202</v>
      </c>
      <c r="D263" s="61" t="e">
        <f>IF((D223-D259)=0,"a","r")</f>
        <v>#VALUE!</v>
      </c>
      <c r="E263" s="61" t="str">
        <f>IF((E223-E259)=0,"a","r")</f>
        <v>a</v>
      </c>
    </row>
  </sheetData>
  <mergeCells count="3">
    <mergeCell ref="C4:C5"/>
    <mergeCell ref="E4:E5"/>
    <mergeCell ref="D4:D5"/>
  </mergeCells>
  <conditionalFormatting sqref="D65 D83 D95 D100 D104 D140">
    <cfRule type="cellIs" dxfId="6" priority="6" operator="equal">
      <formula>0</formula>
    </cfRule>
    <cfRule type="cellIs" dxfId="5" priority="7" operator="lessThan">
      <formula>0</formula>
    </cfRule>
  </conditionalFormatting>
  <conditionalFormatting sqref="D263:E263">
    <cfRule type="cellIs" dxfId="4" priority="4" operator="equal">
      <formula>"r"</formula>
    </cfRule>
    <cfRule type="cellIs" dxfId="3" priority="5" operator="equal">
      <formula>"a"</formula>
    </cfRule>
  </conditionalFormatting>
  <conditionalFormatting sqref="D220">
    <cfRule type="cellIs" dxfId="2" priority="3" operator="lessThan">
      <formula>0</formula>
    </cfRule>
  </conditionalFormatting>
  <conditionalFormatting sqref="D181">
    <cfRule type="cellIs" dxfId="1" priority="1" operator="equal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annualTemplate</vt:lpstr>
      <vt:lpstr>monthlyTemplate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Palumbo</dc:creator>
  <cp:lastModifiedBy>Francisco Palumbo</cp:lastModifiedBy>
  <dcterms:created xsi:type="dcterms:W3CDTF">2022-08-03T11:07:34Z</dcterms:created>
  <dcterms:modified xsi:type="dcterms:W3CDTF">2022-09-13T11:47:52Z</dcterms:modified>
</cp:coreProperties>
</file>