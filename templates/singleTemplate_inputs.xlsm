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CODE-Local\NewFinancialModel\templates\"/>
    </mc:Choice>
  </mc:AlternateContent>
  <xr:revisionPtr revIDLastSave="0" documentId="13_ncr:1_{E07720AC-80FA-43DE-95F5-0455A52D289C}" xr6:coauthVersionLast="47" xr6:coauthVersionMax="47" xr10:uidLastSave="{00000000-0000-0000-0000-000000000000}"/>
  <bookViews>
    <workbookView xWindow="1515" yWindow="1515" windowWidth="27180" windowHeight="14640" xr2:uid="{9A68FCAF-AA2E-4281-8140-640F82D88FC7}"/>
  </bookViews>
  <sheets>
    <sheet name="PlantTemplat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1" i="1" l="1"/>
  <c r="D200" i="1"/>
  <c r="D199" i="1"/>
  <c r="D198" i="1"/>
  <c r="D196" i="1"/>
  <c r="D195" i="1"/>
  <c r="D193" i="1"/>
  <c r="D192" i="1"/>
  <c r="D189" i="1"/>
  <c r="D187" i="1"/>
  <c r="D185" i="1"/>
  <c r="D184" i="1"/>
  <c r="D182" i="1"/>
  <c r="D181" i="1"/>
  <c r="D180" i="1"/>
  <c r="D179" i="1"/>
  <c r="D178" i="1"/>
  <c r="D232" i="1"/>
  <c r="D231" i="1"/>
  <c r="D230" i="1"/>
  <c r="D229" i="1"/>
  <c r="D228" i="1"/>
  <c r="D226" i="1"/>
  <c r="D225" i="1"/>
  <c r="D222" i="1"/>
  <c r="D221" i="1"/>
  <c r="D219" i="1"/>
  <c r="D218" i="1"/>
  <c r="D217" i="1"/>
  <c r="D216" i="1"/>
  <c r="D215" i="1"/>
  <c r="D213" i="1"/>
  <c r="D212" i="1"/>
  <c r="D210" i="1"/>
  <c r="D209" i="1"/>
  <c r="D207" i="1"/>
  <c r="D206" i="1"/>
  <c r="D205" i="1"/>
  <c r="D157" i="1"/>
  <c r="D224" i="1" s="1"/>
  <c r="D188" i="1"/>
  <c r="D211" i="1" l="1"/>
  <c r="D164" i="1"/>
  <c r="D147" i="1"/>
  <c r="D153" i="1" l="1"/>
  <c r="D191" i="1"/>
  <c r="D194" i="1" s="1"/>
  <c r="D190" i="1"/>
  <c r="D202" i="1" s="1"/>
  <c r="D223" i="1"/>
  <c r="D214" i="1"/>
  <c r="D220" i="1" s="1"/>
  <c r="D197" i="1"/>
  <c r="D183" i="1"/>
  <c r="D173" i="1"/>
  <c r="D138" i="1"/>
  <c r="D118" i="1"/>
  <c r="D103" i="1"/>
  <c r="D99" i="1"/>
  <c r="D93" i="1"/>
  <c r="D89" i="1"/>
  <c r="D81" i="1"/>
  <c r="D67" i="1"/>
  <c r="D64" i="1"/>
  <c r="D59" i="1"/>
  <c r="D166" i="1" l="1"/>
  <c r="D111" i="1" s="1"/>
  <c r="D121" i="1"/>
  <c r="D125" i="1" s="1"/>
  <c r="D227" i="1"/>
  <c r="D233" i="1" s="1"/>
  <c r="D234" i="1" s="1"/>
  <c r="D82" i="1"/>
  <c r="D94" i="1"/>
  <c r="D109" i="1" s="1"/>
  <c r="D65" i="1"/>
  <c r="D177" i="1" l="1"/>
  <c r="D186" i="1" s="1"/>
  <c r="D83" i="1"/>
  <c r="E227" i="1"/>
  <c r="E223" i="1"/>
  <c r="E214" i="1"/>
  <c r="E220" i="1" s="1"/>
  <c r="E197" i="1"/>
  <c r="E194" i="1"/>
  <c r="E190" i="1"/>
  <c r="E183" i="1"/>
  <c r="E186" i="1" s="1"/>
  <c r="E103" i="1"/>
  <c r="E99" i="1"/>
  <c r="E93" i="1"/>
  <c r="E89" i="1"/>
  <c r="E81" i="1"/>
  <c r="E67" i="1"/>
  <c r="E64" i="1"/>
  <c r="E59" i="1"/>
  <c r="E65" i="1" l="1"/>
  <c r="D203" i="1"/>
  <c r="D238" i="1" s="1"/>
  <c r="D95" i="1"/>
  <c r="D100" i="1" s="1"/>
  <c r="D104" i="1" s="1"/>
  <c r="D108" i="1" s="1"/>
  <c r="D119" i="1" s="1"/>
  <c r="E233" i="1"/>
  <c r="E234" i="1" s="1"/>
  <c r="E82" i="1"/>
  <c r="E94" i="1"/>
  <c r="E202" i="1"/>
  <c r="E203" i="1" s="1"/>
  <c r="E238" i="1" s="1"/>
  <c r="E83" i="1" l="1"/>
  <c r="E95" i="1" s="1"/>
  <c r="E100" i="1" s="1"/>
  <c r="E104" i="1" s="1"/>
  <c r="D140" i="1"/>
  <c r="D201" i="1" s="1"/>
</calcChain>
</file>

<file path=xl/sharedStrings.xml><?xml version="1.0" encoding="utf-8"?>
<sst xmlns="http://schemas.openxmlformats.org/spreadsheetml/2006/main" count="386" uniqueCount="200">
  <si>
    <t>Plant Name</t>
  </si>
  <si>
    <t>Cod: Plant Code</t>
  </si>
  <si>
    <r>
      <t xml:space="preserve">End of regulatory life: </t>
    </r>
    <r>
      <rPr>
        <sz val="10"/>
        <color rgb="FFFF0000"/>
        <rFont val="Calibri"/>
        <family val="2"/>
        <scheme val="minor"/>
      </rPr>
      <t>Year</t>
    </r>
  </si>
  <si>
    <t>Units</t>
  </si>
  <si>
    <t>Closing 
Prev. Per</t>
  </si>
  <si>
    <t>Inputs</t>
  </si>
  <si>
    <t>€ / MWh</t>
  </si>
  <si>
    <t>Variable (TTF forward curve)</t>
  </si>
  <si>
    <t>Fixed term</t>
  </si>
  <si>
    <t xml:space="preserve">k€ </t>
  </si>
  <si>
    <t>Adder</t>
  </si>
  <si>
    <t>Gas Cost</t>
  </si>
  <si>
    <t>CO2 forward curve</t>
  </si>
  <si>
    <t>€ / t</t>
  </si>
  <si>
    <t>Discount to heat offtaker</t>
  </si>
  <si>
    <t>%</t>
  </si>
  <si>
    <t>Heat sale price</t>
  </si>
  <si>
    <t>Commercial</t>
  </si>
  <si>
    <t>Operating capacity</t>
  </si>
  <si>
    <t>MW</t>
  </si>
  <si>
    <t>Production</t>
  </si>
  <si>
    <t>MWh</t>
  </si>
  <si>
    <t>Self-consumption</t>
  </si>
  <si>
    <t>Capture ratio</t>
  </si>
  <si>
    <t>Load hours</t>
  </si>
  <si>
    <t>Hours</t>
  </si>
  <si>
    <t>Electrical efficiency (HHV)</t>
  </si>
  <si>
    <t>CO2 emission ratio</t>
  </si>
  <si>
    <t>Heat production</t>
  </si>
  <si>
    <t>kW</t>
  </si>
  <si>
    <t>Technical</t>
  </si>
  <si>
    <t>Ro H1 2020</t>
  </si>
  <si>
    <t>Ro H1 2022</t>
  </si>
  <si>
    <t>Ri</t>
  </si>
  <si>
    <t>Energy Tax Rate</t>
  </si>
  <si>
    <t>Regulatory</t>
  </si>
  <si>
    <t>Days</t>
  </si>
  <si>
    <t>Ro</t>
  </si>
  <si>
    <t>Pool</t>
  </si>
  <si>
    <t>Heat</t>
  </si>
  <si>
    <t>O&amp;M</t>
  </si>
  <si>
    <t>Other &amp; Unbilled Receivables</t>
  </si>
  <si>
    <t>Receivables days outstanding</t>
  </si>
  <si>
    <t>Gas</t>
  </si>
  <si>
    <t>Energy Tax</t>
  </si>
  <si>
    <t>Other &amp; Unbilled Payables</t>
  </si>
  <si>
    <t>Payables days outstanding</t>
  </si>
  <si>
    <t>CO2 inventory</t>
  </si>
  <si>
    <t>Other materials</t>
  </si>
  <si>
    <t>Inventory days</t>
  </si>
  <si>
    <t>Financial</t>
  </si>
  <si>
    <t>P&amp;L</t>
  </si>
  <si>
    <t>Other</t>
  </si>
  <si>
    <t>Net Revenues</t>
  </si>
  <si>
    <t>Direct expenses</t>
  </si>
  <si>
    <t>Personnel cost</t>
  </si>
  <si>
    <t>Non-personnel costs</t>
  </si>
  <si>
    <t>OPEX</t>
  </si>
  <si>
    <t>EBITDA</t>
  </si>
  <si>
    <t>€</t>
  </si>
  <si>
    <t>Financial result</t>
  </si>
  <si>
    <t>Amortisation of intangible own assets</t>
  </si>
  <si>
    <t>Depreciation of tangible own assets</t>
  </si>
  <si>
    <t>Depreciation of tangible own G2</t>
  </si>
  <si>
    <t>Depreciation of tangible own G3 EOH</t>
  </si>
  <si>
    <t>Depreciation of tangible own G3 linear</t>
  </si>
  <si>
    <t>Depreciation on own assets</t>
  </si>
  <si>
    <t>Amortisation of intangible acquired assets</t>
  </si>
  <si>
    <t>Depreciation of tangible acquired assets</t>
  </si>
  <si>
    <t>Depreciation of tangible acquired G3</t>
  </si>
  <si>
    <t>Depreciation on aquired assets</t>
  </si>
  <si>
    <t>Depreciation</t>
  </si>
  <si>
    <t>Profit before tax</t>
  </si>
  <si>
    <t>Deferred tax</t>
  </si>
  <si>
    <t>Tax</t>
  </si>
  <si>
    <t>Profit after tax</t>
  </si>
  <si>
    <t>Cashflow (IFRS)</t>
  </si>
  <si>
    <t>Depreciation (add back)</t>
  </si>
  <si>
    <t>Depreciation IFRS 16 (add back)</t>
  </si>
  <si>
    <t>Change in Working Capital</t>
  </si>
  <si>
    <t>Change in Other non-current assets and liabilities</t>
  </si>
  <si>
    <t>(Gain) / Loss on sales of fixed assets</t>
  </si>
  <si>
    <t>Provisions</t>
  </si>
  <si>
    <t>Derivatives</t>
  </si>
  <si>
    <t>Other non-cash PnL items</t>
  </si>
  <si>
    <t>Other non-cash PnL items (e.g: FX impact, deferred tax)</t>
  </si>
  <si>
    <t>Operating CF</t>
  </si>
  <si>
    <t>CAPEX</t>
  </si>
  <si>
    <t>IFRS 16 capitalization</t>
  </si>
  <si>
    <t>Sales of Fixed Assets</t>
  </si>
  <si>
    <t>Investments</t>
  </si>
  <si>
    <t>Investing CF</t>
  </si>
  <si>
    <t>(Repayment) / Drawdown of 3rd party short-term loans</t>
  </si>
  <si>
    <t>(Repayment) / Drawdown of 3rd party long-term loans</t>
  </si>
  <si>
    <t>(Repayment) / Drawdown of IC short-term loans</t>
  </si>
  <si>
    <t>(Repayment) / Drawdown of IC long-term loans</t>
  </si>
  <si>
    <t>Repayment / (Drawdown) of 3rd party granted short-term loans</t>
  </si>
  <si>
    <t>Repayment / (Drawdown) of 3rd party granted long-term loans</t>
  </si>
  <si>
    <t>Repayment / (Drawdown) of IC granted short-term loans</t>
  </si>
  <si>
    <t>Repayment / (Drawdown) of IC granted long-term loans</t>
  </si>
  <si>
    <t>Change in capital</t>
  </si>
  <si>
    <t>Dividend payment</t>
  </si>
  <si>
    <t>Financing CF</t>
  </si>
  <si>
    <t>Total Cashflow</t>
  </si>
  <si>
    <t>Asset description</t>
  </si>
  <si>
    <t>Total CAPEX</t>
  </si>
  <si>
    <t>Balance sheet</t>
  </si>
  <si>
    <t>Property, plant and equipment</t>
  </si>
  <si>
    <t>Intangible assets</t>
  </si>
  <si>
    <t>Long-term loans given - 3rd party</t>
  </si>
  <si>
    <t>Long-term loans given - IC</t>
  </si>
  <si>
    <t>Other non-current financial assets</t>
  </si>
  <si>
    <t>Deferred tax assets</t>
  </si>
  <si>
    <t>Derivative financial instruments (A non-current)</t>
  </si>
  <si>
    <t>NON-CURRENT ASSETS</t>
  </si>
  <si>
    <t>Natural gas</t>
  </si>
  <si>
    <t>Green Certificate</t>
  </si>
  <si>
    <t>Other inventory</t>
  </si>
  <si>
    <t>Inventories</t>
  </si>
  <si>
    <t>Trade receivables (incl accrued revenue) - 3rd party</t>
  </si>
  <si>
    <t>Trade receivables (incl accrued revenue) - IC</t>
  </si>
  <si>
    <t>Other receivables</t>
  </si>
  <si>
    <t>Trade and other receivables</t>
  </si>
  <si>
    <t>Granted loans and deposits</t>
  </si>
  <si>
    <t>Other current financial assets</t>
  </si>
  <si>
    <t>Derivative financial instruments (A current)</t>
  </si>
  <si>
    <t>Prepayments (current)</t>
  </si>
  <si>
    <t>Assets classified as held for sale</t>
  </si>
  <si>
    <t>Cash and cash equivalents</t>
  </si>
  <si>
    <t>CURRENT ASSETS</t>
  </si>
  <si>
    <t>TOTAL ASSETS</t>
  </si>
  <si>
    <t>Share capital and share premium</t>
  </si>
  <si>
    <t>Other reserves</t>
  </si>
  <si>
    <t>Retained earnings</t>
  </si>
  <si>
    <t>Profit for the year</t>
  </si>
  <si>
    <t>Non-controlling interests</t>
  </si>
  <si>
    <t>EQUITY</t>
  </si>
  <si>
    <t>Long-term loans - 3rd party</t>
  </si>
  <si>
    <t>Long-term loans - IC</t>
  </si>
  <si>
    <t>Long-term loans</t>
  </si>
  <si>
    <t>Provisions - non-current</t>
  </si>
  <si>
    <t>Other non-current liabilities</t>
  </si>
  <si>
    <t>Deferred tax liabilities</t>
  </si>
  <si>
    <t>Derivative financial instruments (L non-current)</t>
  </si>
  <si>
    <t>Other non-current financial liabilities</t>
  </si>
  <si>
    <t>NON-CURRENT LIABILITIES</t>
  </si>
  <si>
    <t>Short-term loans - 3rd party</t>
  </si>
  <si>
    <t>Short-term loans - IC</t>
  </si>
  <si>
    <t>Short-term loans</t>
  </si>
  <si>
    <t>Trade payables to third parties</t>
  </si>
  <si>
    <t>Trade payables to related parties</t>
  </si>
  <si>
    <t>Other payables</t>
  </si>
  <si>
    <t>Trade and other payables</t>
  </si>
  <si>
    <t>Other current financial liabilities</t>
  </si>
  <si>
    <t>Derivative financial instruments (L current)</t>
  </si>
  <si>
    <t>Tax payables</t>
  </si>
  <si>
    <t>Provisions - current</t>
  </si>
  <si>
    <t>Liabilities from discontinued operation</t>
  </si>
  <si>
    <t>CURRENT LIABILITIES</t>
  </si>
  <si>
    <t>TOTAL EQUITY AND LIABILITIES</t>
  </si>
  <si>
    <t>Financing</t>
  </si>
  <si>
    <t>Market</t>
  </si>
  <si>
    <t>Ro revenue</t>
  </si>
  <si>
    <t>Rinv revenue</t>
  </si>
  <si>
    <t>Heat to industry CHP</t>
  </si>
  <si>
    <t>Heat to industry boiler</t>
  </si>
  <si>
    <t>Water to industry</t>
  </si>
  <si>
    <t>Nat gas fixed term</t>
  </si>
  <si>
    <t>Nat gas variable term CHP</t>
  </si>
  <si>
    <t>Nat gas variable term Boiler</t>
  </si>
  <si>
    <t>CO2 Emissions</t>
  </si>
  <si>
    <t>Gross margin</t>
  </si>
  <si>
    <t>Operation (Personnel expenses)</t>
  </si>
  <si>
    <t xml:space="preserve">CHP Maintenance </t>
  </si>
  <si>
    <t>Electricity tax</t>
  </si>
  <si>
    <t>REE - Next Sales Agent</t>
  </si>
  <si>
    <t>Land Rent</t>
  </si>
  <si>
    <t>Electric agent</t>
  </si>
  <si>
    <t>Administr. Legal cost / Supplies</t>
  </si>
  <si>
    <t>IBI, IAE, etc</t>
  </si>
  <si>
    <t>Bank Services</t>
  </si>
  <si>
    <t>Non financial and other capital gains</t>
  </si>
  <si>
    <t>Insurance</t>
  </si>
  <si>
    <t>Management fee</t>
  </si>
  <si>
    <t>Electricity supply</t>
  </si>
  <si>
    <t>Otros</t>
  </si>
  <si>
    <t>EBIT</t>
  </si>
  <si>
    <t>Factoring interests</t>
  </si>
  <si>
    <t>CAPEX line</t>
  </si>
  <si>
    <t>Current period tax expense</t>
  </si>
  <si>
    <t>Deferred period tax expense</t>
  </si>
  <si>
    <t>Working Capital Variation</t>
  </si>
  <si>
    <t>Total Working Capital Variation</t>
  </si>
  <si>
    <t>Base Column</t>
  </si>
  <si>
    <t>RO</t>
  </si>
  <si>
    <t>Trade receivables</t>
  </si>
  <si>
    <t>Trade payables</t>
  </si>
  <si>
    <t>DTLC</t>
  </si>
  <si>
    <t>Check</t>
  </si>
  <si>
    <t>Pool price (captured / TTF)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</si>
</sst>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/>
      <name val="Webdings"/>
      <family val="1"/>
      <charset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Gray">
        <bgColor theme="8" tint="0.79998168889431442"/>
      </patternFill>
    </fill>
    <fill>
      <patternFill patternType="lightGray">
        <bgColor theme="0" tint="-0.14999847407452621"/>
      </patternFill>
    </fill>
    <fill>
      <patternFill patternType="lightGray">
        <fgColor auto="1"/>
        <bgColor theme="8" tint="0.79995117038483843"/>
      </patternFill>
    </fill>
    <fill>
      <patternFill patternType="lightGray">
        <fgColor auto="1"/>
        <bgColor theme="8" tint="0.79998168889431442"/>
      </patternFill>
    </fill>
    <fill>
      <patternFill patternType="lightGray">
        <fgColor auto="1"/>
        <bgColor theme="0" tint="-0.14999847407452621"/>
      </patternFill>
    </fill>
    <fill>
      <patternFill patternType="lightGray">
        <bgColor theme="0" tint="-0.14996795556505021"/>
      </patternFill>
    </fill>
    <fill>
      <patternFill patternType="lightGray">
        <fgColor auto="1"/>
        <bgColor theme="0" tint="-4.9989318521683403E-2"/>
      </patternFill>
    </fill>
    <fill>
      <patternFill patternType="lightGray">
        <bgColor theme="0" tint="-4.9989318521683403E-2"/>
      </patternFill>
    </fill>
    <fill>
      <patternFill patternType="lightGray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hair">
        <color auto="1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 indent="16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indent="16"/>
    </xf>
    <xf numFmtId="0" fontId="4" fillId="0" borderId="0" xfId="0" applyFont="1" applyAlignment="1">
      <alignment horizontal="center"/>
    </xf>
    <xf numFmtId="0" fontId="6" fillId="0" borderId="0" xfId="0" applyFont="1"/>
    <xf numFmtId="0" fontId="5" fillId="4" borderId="2" xfId="0" applyFont="1" applyFill="1" applyBorder="1" applyAlignment="1">
      <alignment horizontal="left" vertical="center" indent="1"/>
    </xf>
    <xf numFmtId="0" fontId="6" fillId="4" borderId="3" xfId="0" applyFont="1" applyFill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  <xf numFmtId="0" fontId="6" fillId="0" borderId="4" xfId="0" applyFont="1" applyBorder="1" applyAlignment="1">
      <alignment horizontal="center"/>
    </xf>
    <xf numFmtId="0" fontId="7" fillId="0" borderId="0" xfId="0" applyFont="1" applyAlignment="1">
      <alignment horizontal="left" indent="2"/>
    </xf>
    <xf numFmtId="0" fontId="2" fillId="0" borderId="4" xfId="0" applyFont="1" applyBorder="1" applyAlignment="1">
      <alignment horizontal="center"/>
    </xf>
    <xf numFmtId="0" fontId="7" fillId="0" borderId="5" xfId="0" applyFont="1" applyBorder="1" applyAlignment="1">
      <alignment horizontal="left" indent="2"/>
    </xf>
    <xf numFmtId="0" fontId="2" fillId="0" borderId="6" xfId="0" applyFont="1" applyBorder="1" applyAlignment="1">
      <alignment horizontal="center"/>
    </xf>
    <xf numFmtId="0" fontId="8" fillId="5" borderId="7" xfId="0" applyFont="1" applyFill="1" applyBorder="1"/>
    <xf numFmtId="0" fontId="6" fillId="5" borderId="7" xfId="0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0" borderId="0" xfId="0" applyFont="1" applyAlignment="1">
      <alignment horizontal="left" indent="1"/>
    </xf>
    <xf numFmtId="0" fontId="7" fillId="0" borderId="5" xfId="0" applyFont="1" applyBorder="1" applyAlignment="1">
      <alignment horizontal="left" indent="1"/>
    </xf>
    <xf numFmtId="0" fontId="6" fillId="0" borderId="6" xfId="0" applyFont="1" applyBorder="1" applyAlignment="1">
      <alignment horizontal="center"/>
    </xf>
    <xf numFmtId="0" fontId="9" fillId="0" borderId="5" xfId="0" applyFont="1" applyBorder="1" applyAlignment="1">
      <alignment horizontal="left" indent="1"/>
    </xf>
    <xf numFmtId="0" fontId="6" fillId="0" borderId="7" xfId="0" applyFont="1" applyBorder="1" applyAlignment="1">
      <alignment horizontal="center"/>
    </xf>
    <xf numFmtId="0" fontId="5" fillId="4" borderId="0" xfId="0" applyFont="1" applyFill="1" applyAlignment="1">
      <alignment horizontal="left" vertical="center" indent="1"/>
    </xf>
    <xf numFmtId="0" fontId="6" fillId="4" borderId="2" xfId="0" applyFont="1" applyFill="1" applyBorder="1"/>
    <xf numFmtId="0" fontId="6" fillId="0" borderId="0" xfId="0" applyFont="1" applyAlignment="1">
      <alignment horizontal="left" indent="2"/>
    </xf>
    <xf numFmtId="0" fontId="6" fillId="0" borderId="7" xfId="0" applyFont="1" applyBorder="1" applyAlignment="1">
      <alignment horizontal="left" indent="2"/>
    </xf>
    <xf numFmtId="0" fontId="6" fillId="0" borderId="9" xfId="0" applyFont="1" applyBorder="1" applyAlignment="1">
      <alignment horizontal="center"/>
    </xf>
    <xf numFmtId="0" fontId="8" fillId="0" borderId="0" xfId="0" applyFont="1" applyAlignment="1">
      <alignment horizontal="left" indent="1"/>
    </xf>
    <xf numFmtId="0" fontId="8" fillId="0" borderId="4" xfId="0" applyFont="1" applyBorder="1" applyAlignment="1">
      <alignment horizontal="center"/>
    </xf>
    <xf numFmtId="0" fontId="8" fillId="5" borderId="0" xfId="0" applyFont="1" applyFill="1"/>
    <xf numFmtId="0" fontId="8" fillId="5" borderId="4" xfId="0" applyFont="1" applyFill="1" applyBorder="1" applyAlignment="1">
      <alignment horizontal="center"/>
    </xf>
    <xf numFmtId="0" fontId="6" fillId="0" borderId="0" xfId="0" applyFont="1" applyAlignment="1">
      <alignment horizontal="left" indent="4"/>
    </xf>
    <xf numFmtId="0" fontId="6" fillId="0" borderId="7" xfId="0" applyFont="1" applyBorder="1" applyAlignment="1">
      <alignment horizontal="left" indent="4"/>
    </xf>
    <xf numFmtId="0" fontId="8" fillId="0" borderId="0" xfId="0" applyFont="1" applyAlignment="1">
      <alignment horizontal="left" indent="3"/>
    </xf>
    <xf numFmtId="0" fontId="6" fillId="6" borderId="4" xfId="0" applyFont="1" applyFill="1" applyBorder="1" applyAlignment="1">
      <alignment horizontal="center"/>
    </xf>
    <xf numFmtId="0" fontId="8" fillId="0" borderId="0" xfId="0" applyFont="1" applyAlignment="1">
      <alignment horizontal="left" indent="2"/>
    </xf>
    <xf numFmtId="0" fontId="7" fillId="0" borderId="0" xfId="0" applyFont="1" applyAlignment="1">
      <alignment horizontal="left" indent="3"/>
    </xf>
    <xf numFmtId="0" fontId="7" fillId="0" borderId="5" xfId="0" applyFont="1" applyBorder="1" applyAlignment="1">
      <alignment horizontal="left" indent="3"/>
    </xf>
    <xf numFmtId="0" fontId="6" fillId="6" borderId="0" xfId="0" applyFont="1" applyFill="1" applyAlignment="1">
      <alignment horizontal="left" indent="2"/>
    </xf>
    <xf numFmtId="0" fontId="2" fillId="4" borderId="3" xfId="0" applyFont="1" applyFill="1" applyBorder="1"/>
    <xf numFmtId="0" fontId="2" fillId="4" borderId="3" xfId="0" applyFont="1" applyFill="1" applyBorder="1" applyAlignment="1">
      <alignment horizontal="center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left" indent="2"/>
    </xf>
    <xf numFmtId="0" fontId="3" fillId="6" borderId="0" xfId="0" applyFont="1" applyFill="1"/>
    <xf numFmtId="0" fontId="3" fillId="6" borderId="4" xfId="0" applyFont="1" applyFill="1" applyBorder="1" applyAlignment="1">
      <alignment horizontal="center"/>
    </xf>
    <xf numFmtId="0" fontId="3" fillId="5" borderId="0" xfId="0" applyFont="1" applyFill="1"/>
    <xf numFmtId="0" fontId="3" fillId="5" borderId="4" xfId="0" applyFont="1" applyFill="1" applyBorder="1" applyAlignment="1">
      <alignment horizontal="center"/>
    </xf>
    <xf numFmtId="0" fontId="3" fillId="0" borderId="0" xfId="0" applyFont="1"/>
    <xf numFmtId="0" fontId="3" fillId="6" borderId="5" xfId="0" applyFont="1" applyFill="1" applyBorder="1"/>
    <xf numFmtId="0" fontId="3" fillId="6" borderId="6" xfId="0" applyFont="1" applyFill="1" applyBorder="1" applyAlignment="1">
      <alignment horizontal="center"/>
    </xf>
    <xf numFmtId="43" fontId="2" fillId="0" borderId="4" xfId="1" applyFont="1" applyBorder="1" applyAlignment="1">
      <alignment horizontal="center"/>
    </xf>
    <xf numFmtId="43" fontId="3" fillId="5" borderId="4" xfId="1" applyFont="1" applyFill="1" applyBorder="1" applyAlignment="1">
      <alignment horizontal="center"/>
    </xf>
    <xf numFmtId="0" fontId="2" fillId="0" borderId="5" xfId="0" applyFont="1" applyBorder="1" applyAlignment="1">
      <alignment horizontal="left" indent="2"/>
    </xf>
    <xf numFmtId="0" fontId="2" fillId="0" borderId="10" xfId="0" applyFont="1" applyBorder="1"/>
    <xf numFmtId="0" fontId="2" fillId="0" borderId="11" xfId="0" applyFont="1" applyBorder="1" applyAlignment="1">
      <alignment horizontal="center"/>
    </xf>
    <xf numFmtId="0" fontId="6" fillId="4" borderId="3" xfId="0" applyFont="1" applyFill="1" applyBorder="1" applyAlignment="1">
      <alignment horizontal="right"/>
    </xf>
    <xf numFmtId="0" fontId="6" fillId="0" borderId="4" xfId="0" applyFont="1" applyBorder="1" applyAlignment="1">
      <alignment horizontal="right"/>
    </xf>
    <xf numFmtId="164" fontId="8" fillId="5" borderId="4" xfId="1" applyNumberFormat="1" applyFont="1" applyFill="1" applyBorder="1" applyAlignment="1">
      <alignment horizontal="right"/>
    </xf>
    <xf numFmtId="164" fontId="6" fillId="6" borderId="4" xfId="1" applyNumberFormat="1" applyFont="1" applyFill="1" applyBorder="1" applyAlignment="1">
      <alignment horizontal="right"/>
    </xf>
    <xf numFmtId="0" fontId="2" fillId="4" borderId="3" xfId="0" applyFont="1" applyFill="1" applyBorder="1" applyAlignment="1">
      <alignment horizontal="right"/>
    </xf>
    <xf numFmtId="0" fontId="2" fillId="0" borderId="4" xfId="0" applyFont="1" applyBorder="1" applyAlignment="1">
      <alignment horizontal="right"/>
    </xf>
    <xf numFmtId="164" fontId="2" fillId="0" borderId="4" xfId="1" applyNumberFormat="1" applyFont="1" applyBorder="1" applyAlignment="1">
      <alignment horizontal="right"/>
    </xf>
    <xf numFmtId="164" fontId="3" fillId="6" borderId="4" xfId="1" applyNumberFormat="1" applyFont="1" applyFill="1" applyBorder="1" applyAlignment="1">
      <alignment horizontal="right"/>
    </xf>
    <xf numFmtId="164" fontId="3" fillId="5" borderId="4" xfId="1" applyNumberFormat="1" applyFont="1" applyFill="1" applyBorder="1" applyAlignment="1">
      <alignment horizontal="right"/>
    </xf>
    <xf numFmtId="0" fontId="2" fillId="0" borderId="11" xfId="0" applyFont="1" applyBorder="1" applyAlignment="1">
      <alignment horizontal="right"/>
    </xf>
    <xf numFmtId="0" fontId="2" fillId="0" borderId="0" xfId="0" applyFont="1" applyFill="1"/>
    <xf numFmtId="164" fontId="6" fillId="0" borderId="4" xfId="1" applyNumberFormat="1" applyFont="1" applyBorder="1" applyAlignment="1">
      <alignment horizontal="center"/>
    </xf>
    <xf numFmtId="164" fontId="6" fillId="0" borderId="9" xfId="1" applyNumberFormat="1" applyFont="1" applyBorder="1" applyAlignment="1">
      <alignment horizontal="center"/>
    </xf>
    <xf numFmtId="164" fontId="8" fillId="0" borderId="4" xfId="1" applyNumberFormat="1" applyFont="1" applyBorder="1" applyAlignment="1">
      <alignment horizontal="center"/>
    </xf>
    <xf numFmtId="164" fontId="8" fillId="5" borderId="4" xfId="1" applyNumberFormat="1" applyFont="1" applyFill="1" applyBorder="1" applyAlignment="1">
      <alignment horizontal="center"/>
    </xf>
    <xf numFmtId="164" fontId="6" fillId="0" borderId="6" xfId="1" applyNumberFormat="1" applyFont="1" applyBorder="1" applyAlignment="1">
      <alignment horizontal="center"/>
    </xf>
    <xf numFmtId="164" fontId="6" fillId="6" borderId="4" xfId="1" applyNumberFormat="1" applyFont="1" applyFill="1" applyBorder="1" applyAlignment="1">
      <alignment horizontal="center"/>
    </xf>
    <xf numFmtId="164" fontId="2" fillId="0" borderId="4" xfId="1" applyNumberFormat="1" applyFont="1" applyBorder="1" applyAlignment="1">
      <alignment horizontal="center"/>
    </xf>
    <xf numFmtId="164" fontId="3" fillId="6" borderId="4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2" fillId="0" borderId="6" xfId="1" applyNumberFormat="1" applyFont="1" applyBorder="1" applyAlignment="1">
      <alignment horizontal="center"/>
    </xf>
    <xf numFmtId="0" fontId="9" fillId="0" borderId="0" xfId="0" applyFont="1" applyAlignment="1">
      <alignment horizontal="left" indent="1"/>
    </xf>
    <xf numFmtId="164" fontId="6" fillId="8" borderId="4" xfId="1" applyNumberFormat="1" applyFont="1" applyFill="1" applyBorder="1" applyAlignment="1">
      <alignment horizontal="right"/>
    </xf>
    <xf numFmtId="164" fontId="6" fillId="8" borderId="9" xfId="1" applyNumberFormat="1" applyFont="1" applyFill="1" applyBorder="1" applyAlignment="1">
      <alignment horizontal="right"/>
    </xf>
    <xf numFmtId="164" fontId="8" fillId="8" borderId="4" xfId="1" applyNumberFormat="1" applyFont="1" applyFill="1" applyBorder="1" applyAlignment="1">
      <alignment horizontal="right"/>
    </xf>
    <xf numFmtId="164" fontId="7" fillId="8" borderId="4" xfId="1" applyNumberFormat="1" applyFont="1" applyFill="1" applyBorder="1" applyAlignment="1">
      <alignment horizontal="right"/>
    </xf>
    <xf numFmtId="164" fontId="7" fillId="8" borderId="9" xfId="1" applyNumberFormat="1" applyFont="1" applyFill="1" applyBorder="1" applyAlignment="1">
      <alignment horizontal="right"/>
    </xf>
    <xf numFmtId="164" fontId="7" fillId="8" borderId="6" xfId="1" applyNumberFormat="1" applyFont="1" applyFill="1" applyBorder="1" applyAlignment="1">
      <alignment horizontal="right"/>
    </xf>
    <xf numFmtId="164" fontId="2" fillId="8" borderId="4" xfId="1" applyNumberFormat="1" applyFont="1" applyFill="1" applyBorder="1" applyAlignment="1">
      <alignment horizontal="right"/>
    </xf>
    <xf numFmtId="164" fontId="3" fillId="8" borderId="4" xfId="1" applyNumberFormat="1" applyFont="1" applyFill="1" applyBorder="1" applyAlignment="1">
      <alignment horizontal="right"/>
    </xf>
    <xf numFmtId="164" fontId="2" fillId="8" borderId="6" xfId="1" applyNumberFormat="1" applyFont="1" applyFill="1" applyBorder="1" applyAlignment="1">
      <alignment horizontal="right"/>
    </xf>
    <xf numFmtId="0" fontId="3" fillId="6" borderId="14" xfId="0" applyFont="1" applyFill="1" applyBorder="1" applyAlignment="1">
      <alignment horizontal="left" vertical="center" indent="1"/>
    </xf>
    <xf numFmtId="0" fontId="3" fillId="6" borderId="15" xfId="0" applyFont="1" applyFill="1" applyBorder="1" applyAlignment="1">
      <alignment vertical="center"/>
    </xf>
    <xf numFmtId="0" fontId="3" fillId="6" borderId="15" xfId="0" applyFont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wrapText="1"/>
    </xf>
    <xf numFmtId="0" fontId="5" fillId="3" borderId="12" xfId="0" applyFont="1" applyFill="1" applyBorder="1" applyAlignment="1">
      <alignment horizontal="center" wrapText="1"/>
    </xf>
    <xf numFmtId="0" fontId="8" fillId="7" borderId="1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vertical="center" wrapText="1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9" borderId="6" xfId="0" applyFont="1" applyFill="1" applyBorder="1" applyAlignment="1">
      <alignment horizontal="center"/>
    </xf>
    <xf numFmtId="0" fontId="6" fillId="10" borderId="7" xfId="0" applyFont="1" applyFill="1" applyBorder="1" applyAlignment="1">
      <alignment horizontal="center"/>
    </xf>
    <xf numFmtId="0" fontId="2" fillId="11" borderId="4" xfId="0" applyFont="1" applyFill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2" borderId="4" xfId="0" applyFont="1" applyFill="1" applyBorder="1" applyAlignment="1">
      <alignment horizontal="center"/>
    </xf>
    <xf numFmtId="0" fontId="6" fillId="13" borderId="7" xfId="0" applyFont="1" applyFill="1" applyBorder="1" applyAlignment="1">
      <alignment horizontal="center"/>
    </xf>
    <xf numFmtId="0" fontId="6" fillId="12" borderId="6" xfId="0" applyFont="1" applyFill="1" applyBorder="1" applyAlignment="1">
      <alignment horizontal="center"/>
    </xf>
    <xf numFmtId="0" fontId="6" fillId="14" borderId="7" xfId="0" applyFont="1" applyFill="1" applyBorder="1" applyAlignment="1">
      <alignment horizontal="center"/>
    </xf>
    <xf numFmtId="164" fontId="2" fillId="12" borderId="4" xfId="1" applyNumberFormat="1" applyFont="1" applyFill="1" applyBorder="1" applyAlignment="1">
      <alignment horizontal="right"/>
    </xf>
    <xf numFmtId="164" fontId="3" fillId="15" borderId="4" xfId="1" applyNumberFormat="1" applyFont="1" applyFill="1" applyBorder="1" applyAlignment="1">
      <alignment horizontal="right"/>
    </xf>
    <xf numFmtId="164" fontId="3" fillId="13" borderId="4" xfId="1" applyNumberFormat="1" applyFont="1" applyFill="1" applyBorder="1" applyAlignment="1">
      <alignment horizontal="right"/>
    </xf>
    <xf numFmtId="0" fontId="2" fillId="9" borderId="4" xfId="0" applyFont="1" applyFill="1" applyBorder="1" applyAlignment="1">
      <alignment horizontal="right"/>
    </xf>
    <xf numFmtId="0" fontId="2" fillId="9" borderId="6" xfId="0" applyFont="1" applyFill="1" applyBorder="1" applyAlignment="1">
      <alignment horizontal="right"/>
    </xf>
    <xf numFmtId="43" fontId="3" fillId="16" borderId="4" xfId="1" applyFont="1" applyFill="1" applyBorder="1" applyAlignment="1">
      <alignment horizontal="right"/>
    </xf>
    <xf numFmtId="0" fontId="3" fillId="16" borderId="6" xfId="0" applyFont="1" applyFill="1" applyBorder="1" applyAlignment="1">
      <alignment horizontal="right"/>
    </xf>
    <xf numFmtId="43" fontId="2" fillId="17" borderId="4" xfId="1" applyFont="1" applyFill="1" applyBorder="1" applyAlignment="1">
      <alignment horizontal="right"/>
    </xf>
    <xf numFmtId="43" fontId="3" fillId="10" borderId="4" xfId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35717</xdr:colOff>
      <xdr:row>1</xdr:row>
      <xdr:rowOff>35717</xdr:rowOff>
    </xdr:from>
    <xdr:to>
      <xdr:col>1</xdr:col>
      <xdr:colOff>1095372</xdr:colOff>
      <xdr:row>3</xdr:row>
      <xdr:rowOff>130643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36FF21-7478-4726-98E6-4FDEA7C11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655" y="202405"/>
          <a:ext cx="1059655" cy="4283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D4029-E171-451B-94DE-C717C4CB1474}">
  <sheetPr codeName="Sheet1"/>
  <dimension ref="A2:G238"/>
  <sheetViews>
    <sheetView showGridLines="0" tabSelected="1" zoomScale="80" zoomScaleNormal="80" workbookViewId="0"/>
  </sheetViews>
  <sheetFormatPr defaultRowHeight="12.75" outlineLevelRow="4" x14ac:dyDescent="0.2"/>
  <cols>
    <col min="1" max="1" width="4" style="1" customWidth="1"/>
    <col min="2" max="2" width="57" style="1" bestFit="1" customWidth="1"/>
    <col min="3" max="3" width="8.7109375" style="3" customWidth="1"/>
    <col min="4" max="4" width="11.7109375" style="3" customWidth="1"/>
    <col min="5" max="5" width="11.5703125" style="3" customWidth="1"/>
    <col min="6" max="16384" width="9.140625" style="1"/>
  </cols>
  <sheetData>
    <row r="2" spans="1:7" x14ac:dyDescent="0.2">
      <c r="B2" s="2" t="s">
        <v>0</v>
      </c>
      <c r="G2" s="67"/>
    </row>
    <row r="3" spans="1:7" x14ac:dyDescent="0.2">
      <c r="B3" s="4" t="s">
        <v>1</v>
      </c>
      <c r="C3" s="5"/>
      <c r="D3" s="5"/>
      <c r="E3" s="5"/>
      <c r="G3" s="67"/>
    </row>
    <row r="4" spans="1:7" x14ac:dyDescent="0.2">
      <c r="B4" s="4" t="s">
        <v>2</v>
      </c>
      <c r="C4" s="92" t="s">
        <v>3</v>
      </c>
      <c r="D4" s="96" t="s">
        <v>193</v>
      </c>
      <c r="E4" s="94" t="s">
        <v>4</v>
      </c>
    </row>
    <row r="5" spans="1:7" x14ac:dyDescent="0.2">
      <c r="B5" s="6"/>
      <c r="C5" s="93"/>
      <c r="D5" s="97"/>
      <c r="E5" s="95"/>
    </row>
    <row r="6" spans="1:7" x14ac:dyDescent="0.2">
      <c r="A6" s="7" t="s">
        <v>5</v>
      </c>
      <c r="B6" s="8"/>
      <c r="C6" s="9"/>
      <c r="D6" s="9"/>
      <c r="E6" s="9"/>
    </row>
    <row r="8" spans="1:7" hidden="1" outlineLevel="1" x14ac:dyDescent="0.2">
      <c r="B8" s="10" t="s">
        <v>199</v>
      </c>
      <c r="C8" s="11" t="s">
        <v>6</v>
      </c>
      <c r="D8" s="11"/>
      <c r="E8" s="100"/>
    </row>
    <row r="9" spans="1:7" hidden="1" outlineLevel="2" x14ac:dyDescent="0.2">
      <c r="B9" s="12" t="s">
        <v>7</v>
      </c>
      <c r="C9" s="98" t="s">
        <v>6</v>
      </c>
      <c r="D9" s="13"/>
      <c r="E9" s="101"/>
    </row>
    <row r="10" spans="1:7" hidden="1" outlineLevel="2" x14ac:dyDescent="0.2">
      <c r="B10" s="12" t="s">
        <v>8</v>
      </c>
      <c r="C10" s="98" t="s">
        <v>9</v>
      </c>
      <c r="D10" s="13"/>
      <c r="E10" s="101"/>
    </row>
    <row r="11" spans="1:7" hidden="1" outlineLevel="2" x14ac:dyDescent="0.2">
      <c r="B11" s="14" t="s">
        <v>10</v>
      </c>
      <c r="C11" s="99" t="s">
        <v>6</v>
      </c>
      <c r="D11" s="15"/>
      <c r="E11" s="102"/>
    </row>
    <row r="12" spans="1:7" hidden="1" outlineLevel="1" x14ac:dyDescent="0.2">
      <c r="B12" s="10" t="s">
        <v>11</v>
      </c>
      <c r="C12" s="13"/>
      <c r="D12" s="13"/>
      <c r="E12" s="101"/>
    </row>
    <row r="13" spans="1:7" hidden="1" outlineLevel="1" x14ac:dyDescent="0.2">
      <c r="B13" s="10" t="s">
        <v>12</v>
      </c>
      <c r="C13" s="11" t="s">
        <v>13</v>
      </c>
      <c r="D13" s="11"/>
      <c r="E13" s="100"/>
    </row>
    <row r="14" spans="1:7" hidden="1" outlineLevel="1" x14ac:dyDescent="0.2">
      <c r="B14" s="10" t="s">
        <v>14</v>
      </c>
      <c r="C14" s="11" t="s">
        <v>15</v>
      </c>
      <c r="D14" s="11"/>
      <c r="E14" s="100"/>
    </row>
    <row r="15" spans="1:7" hidden="1" outlineLevel="1" x14ac:dyDescent="0.2">
      <c r="B15" s="10" t="s">
        <v>16</v>
      </c>
      <c r="C15" s="13" t="s">
        <v>6</v>
      </c>
      <c r="D15" s="13"/>
      <c r="E15" s="101"/>
    </row>
    <row r="16" spans="1:7" collapsed="1" x14ac:dyDescent="0.2">
      <c r="B16" s="16" t="s">
        <v>17</v>
      </c>
      <c r="C16" s="17"/>
      <c r="D16" s="17"/>
      <c r="E16" s="103"/>
    </row>
    <row r="17" spans="2:5" x14ac:dyDescent="0.2">
      <c r="B17" s="10"/>
      <c r="C17" s="18"/>
      <c r="D17" s="18"/>
      <c r="E17" s="18"/>
    </row>
    <row r="18" spans="2:5" hidden="1" outlineLevel="1" x14ac:dyDescent="0.2">
      <c r="B18" s="10" t="s">
        <v>18</v>
      </c>
      <c r="C18" s="11" t="s">
        <v>19</v>
      </c>
      <c r="D18" s="11"/>
      <c r="E18" s="106"/>
    </row>
    <row r="19" spans="2:5" hidden="1" outlineLevel="1" x14ac:dyDescent="0.2">
      <c r="B19" s="10" t="s">
        <v>20</v>
      </c>
      <c r="C19" s="11" t="s">
        <v>21</v>
      </c>
      <c r="D19" s="11"/>
      <c r="E19" s="106"/>
    </row>
    <row r="20" spans="2:5" hidden="1" outlineLevel="1" x14ac:dyDescent="0.2">
      <c r="B20" s="10" t="s">
        <v>22</v>
      </c>
      <c r="C20" s="11" t="s">
        <v>15</v>
      </c>
      <c r="D20" s="11"/>
      <c r="E20" s="106"/>
    </row>
    <row r="21" spans="2:5" hidden="1" outlineLevel="1" x14ac:dyDescent="0.2">
      <c r="B21" s="10" t="s">
        <v>23</v>
      </c>
      <c r="C21" s="11" t="s">
        <v>15</v>
      </c>
      <c r="D21" s="11"/>
      <c r="E21" s="106"/>
    </row>
    <row r="22" spans="2:5" hidden="1" outlineLevel="1" x14ac:dyDescent="0.2">
      <c r="B22" s="10" t="s">
        <v>24</v>
      </c>
      <c r="C22" s="11" t="s">
        <v>25</v>
      </c>
      <c r="D22" s="11"/>
      <c r="E22" s="106"/>
    </row>
    <row r="23" spans="2:5" hidden="1" outlineLevel="1" x14ac:dyDescent="0.2">
      <c r="B23" s="10" t="s">
        <v>26</v>
      </c>
      <c r="C23" s="11" t="s">
        <v>15</v>
      </c>
      <c r="D23" s="11"/>
      <c r="E23" s="106"/>
    </row>
    <row r="24" spans="2:5" hidden="1" outlineLevel="1" x14ac:dyDescent="0.2">
      <c r="B24" s="10" t="s">
        <v>27</v>
      </c>
      <c r="C24" s="11" t="s">
        <v>15</v>
      </c>
      <c r="D24" s="11"/>
      <c r="E24" s="106"/>
    </row>
    <row r="25" spans="2:5" hidden="1" outlineLevel="1" x14ac:dyDescent="0.2">
      <c r="B25" s="10" t="s">
        <v>28</v>
      </c>
      <c r="C25" s="11" t="s">
        <v>29</v>
      </c>
      <c r="D25" s="11"/>
      <c r="E25" s="106"/>
    </row>
    <row r="26" spans="2:5" collapsed="1" x14ac:dyDescent="0.2">
      <c r="B26" s="16" t="s">
        <v>30</v>
      </c>
      <c r="C26" s="17"/>
      <c r="D26" s="17"/>
      <c r="E26" s="107"/>
    </row>
    <row r="27" spans="2:5" x14ac:dyDescent="0.2">
      <c r="B27" s="6"/>
      <c r="C27" s="18"/>
      <c r="D27" s="18"/>
      <c r="E27" s="18"/>
    </row>
    <row r="28" spans="2:5" hidden="1" outlineLevel="1" x14ac:dyDescent="0.2">
      <c r="B28" s="10" t="s">
        <v>31</v>
      </c>
      <c r="C28" s="13" t="s">
        <v>6</v>
      </c>
      <c r="D28" s="13"/>
      <c r="E28" s="104"/>
    </row>
    <row r="29" spans="2:5" hidden="1" outlineLevel="1" x14ac:dyDescent="0.2">
      <c r="B29" s="10" t="s">
        <v>32</v>
      </c>
      <c r="C29" s="13" t="s">
        <v>6</v>
      </c>
      <c r="D29" s="13"/>
      <c r="E29" s="104"/>
    </row>
    <row r="30" spans="2:5" hidden="1" outlineLevel="1" x14ac:dyDescent="0.2">
      <c r="B30" s="10" t="s">
        <v>33</v>
      </c>
      <c r="C30" s="11"/>
      <c r="D30" s="11"/>
      <c r="E30" s="105"/>
    </row>
    <row r="31" spans="2:5" hidden="1" outlineLevel="1" x14ac:dyDescent="0.2">
      <c r="B31" s="10" t="s">
        <v>34</v>
      </c>
      <c r="C31" s="11" t="s">
        <v>15</v>
      </c>
      <c r="D31" s="11"/>
      <c r="E31" s="105"/>
    </row>
    <row r="32" spans="2:5" collapsed="1" x14ac:dyDescent="0.2">
      <c r="B32" s="16" t="s">
        <v>35</v>
      </c>
      <c r="C32" s="17"/>
      <c r="D32" s="17"/>
      <c r="E32" s="109"/>
    </row>
    <row r="33" spans="2:5" x14ac:dyDescent="0.2">
      <c r="B33" s="6"/>
      <c r="C33" s="18"/>
      <c r="D33" s="18"/>
      <c r="E33" s="18"/>
    </row>
    <row r="34" spans="2:5" hidden="1" outlineLevel="2" x14ac:dyDescent="0.2">
      <c r="B34" s="19" t="s">
        <v>33</v>
      </c>
      <c r="C34" s="11" t="s">
        <v>36</v>
      </c>
      <c r="D34" s="11"/>
      <c r="E34" s="106"/>
    </row>
    <row r="35" spans="2:5" hidden="1" outlineLevel="2" x14ac:dyDescent="0.2">
      <c r="B35" s="19" t="s">
        <v>37</v>
      </c>
      <c r="C35" s="11" t="s">
        <v>36</v>
      </c>
      <c r="D35" s="11"/>
      <c r="E35" s="106"/>
    </row>
    <row r="36" spans="2:5" hidden="1" outlineLevel="2" x14ac:dyDescent="0.2">
      <c r="B36" s="19" t="s">
        <v>38</v>
      </c>
      <c r="C36" s="11" t="s">
        <v>36</v>
      </c>
      <c r="D36" s="11"/>
      <c r="E36" s="106"/>
    </row>
    <row r="37" spans="2:5" hidden="1" outlineLevel="2" x14ac:dyDescent="0.2">
      <c r="B37" s="19" t="s">
        <v>39</v>
      </c>
      <c r="C37" s="11" t="s">
        <v>36</v>
      </c>
      <c r="D37" s="11"/>
      <c r="E37" s="106"/>
    </row>
    <row r="38" spans="2:5" hidden="1" outlineLevel="2" x14ac:dyDescent="0.2">
      <c r="B38" s="19" t="s">
        <v>40</v>
      </c>
      <c r="C38" s="11" t="s">
        <v>36</v>
      </c>
      <c r="D38" s="11"/>
      <c r="E38" s="106"/>
    </row>
    <row r="39" spans="2:5" hidden="1" outlineLevel="2" x14ac:dyDescent="0.2">
      <c r="B39" s="20" t="s">
        <v>41</v>
      </c>
      <c r="C39" s="21" t="s">
        <v>36</v>
      </c>
      <c r="D39" s="21"/>
      <c r="E39" s="108"/>
    </row>
    <row r="40" spans="2:5" hidden="1" outlineLevel="1" x14ac:dyDescent="0.2">
      <c r="B40" s="6" t="s">
        <v>42</v>
      </c>
      <c r="C40" s="11"/>
      <c r="D40" s="11"/>
      <c r="E40" s="106"/>
    </row>
    <row r="41" spans="2:5" hidden="1" outlineLevel="2" x14ac:dyDescent="0.2">
      <c r="B41" s="19" t="s">
        <v>43</v>
      </c>
      <c r="C41" s="11" t="s">
        <v>36</v>
      </c>
      <c r="D41" s="11"/>
      <c r="E41" s="106"/>
    </row>
    <row r="42" spans="2:5" hidden="1" outlineLevel="2" x14ac:dyDescent="0.2">
      <c r="B42" s="19" t="s">
        <v>44</v>
      </c>
      <c r="C42" s="11" t="s">
        <v>36</v>
      </c>
      <c r="D42" s="11"/>
      <c r="E42" s="106"/>
    </row>
    <row r="43" spans="2:5" hidden="1" outlineLevel="2" x14ac:dyDescent="0.2">
      <c r="B43" s="19" t="s">
        <v>40</v>
      </c>
      <c r="C43" s="11" t="s">
        <v>36</v>
      </c>
      <c r="D43" s="11"/>
      <c r="E43" s="106"/>
    </row>
    <row r="44" spans="2:5" hidden="1" outlineLevel="2" x14ac:dyDescent="0.2">
      <c r="B44" s="20" t="s">
        <v>45</v>
      </c>
      <c r="C44" s="21" t="s">
        <v>36</v>
      </c>
      <c r="D44" s="21"/>
      <c r="E44" s="108"/>
    </row>
    <row r="45" spans="2:5" hidden="1" outlineLevel="1" x14ac:dyDescent="0.2">
      <c r="B45" s="6" t="s">
        <v>46</v>
      </c>
      <c r="C45" s="11"/>
      <c r="D45" s="11"/>
      <c r="E45" s="106"/>
    </row>
    <row r="46" spans="2:5" hidden="1" outlineLevel="2" x14ac:dyDescent="0.2">
      <c r="B46" s="19" t="s">
        <v>47</v>
      </c>
      <c r="C46" s="11" t="s">
        <v>36</v>
      </c>
      <c r="D46" s="11"/>
      <c r="E46" s="106"/>
    </row>
    <row r="47" spans="2:5" hidden="1" outlineLevel="2" x14ac:dyDescent="0.2">
      <c r="B47" s="22" t="s">
        <v>48</v>
      </c>
      <c r="C47" s="21" t="s">
        <v>36</v>
      </c>
      <c r="D47" s="21"/>
      <c r="E47" s="108"/>
    </row>
    <row r="48" spans="2:5" hidden="1" outlineLevel="1" x14ac:dyDescent="0.2">
      <c r="B48" s="6" t="s">
        <v>49</v>
      </c>
      <c r="C48" s="11"/>
      <c r="D48" s="11"/>
      <c r="E48" s="106"/>
    </row>
    <row r="49" spans="1:5" collapsed="1" x14ac:dyDescent="0.2">
      <c r="B49" s="16" t="s">
        <v>50</v>
      </c>
      <c r="C49" s="17"/>
      <c r="D49" s="17"/>
      <c r="E49" s="107"/>
    </row>
    <row r="50" spans="1:5" x14ac:dyDescent="0.2">
      <c r="B50" s="6"/>
      <c r="C50" s="23"/>
      <c r="D50" s="23"/>
      <c r="E50" s="23"/>
    </row>
    <row r="51" spans="1:5" x14ac:dyDescent="0.2">
      <c r="A51" s="24" t="s">
        <v>51</v>
      </c>
      <c r="B51" s="25"/>
      <c r="C51" s="9"/>
      <c r="D51" s="9"/>
      <c r="E51" s="57"/>
    </row>
    <row r="52" spans="1:5" x14ac:dyDescent="0.2">
      <c r="B52" s="6"/>
      <c r="C52" s="11"/>
      <c r="D52" s="11"/>
      <c r="E52" s="58"/>
    </row>
    <row r="53" spans="1:5" hidden="1" outlineLevel="2" x14ac:dyDescent="0.2">
      <c r="B53" s="26" t="s">
        <v>161</v>
      </c>
      <c r="C53" s="11" t="s">
        <v>59</v>
      </c>
      <c r="D53" s="68"/>
      <c r="E53" s="79"/>
    </row>
    <row r="54" spans="1:5" hidden="1" outlineLevel="2" x14ac:dyDescent="0.2">
      <c r="B54" s="26" t="s">
        <v>162</v>
      </c>
      <c r="C54" s="11" t="s">
        <v>59</v>
      </c>
      <c r="D54" s="68"/>
      <c r="E54" s="79"/>
    </row>
    <row r="55" spans="1:5" hidden="1" outlineLevel="2" x14ac:dyDescent="0.2">
      <c r="B55" s="26" t="s">
        <v>163</v>
      </c>
      <c r="C55" s="11" t="s">
        <v>59</v>
      </c>
      <c r="D55" s="68"/>
      <c r="E55" s="79"/>
    </row>
    <row r="56" spans="1:5" hidden="1" outlineLevel="2" x14ac:dyDescent="0.2">
      <c r="B56" s="26" t="s">
        <v>164</v>
      </c>
      <c r="C56" s="11" t="s">
        <v>59</v>
      </c>
      <c r="D56" s="68"/>
      <c r="E56" s="79"/>
    </row>
    <row r="57" spans="1:5" hidden="1" outlineLevel="2" x14ac:dyDescent="0.2">
      <c r="B57" s="26" t="s">
        <v>165</v>
      </c>
      <c r="C57" s="11" t="s">
        <v>59</v>
      </c>
      <c r="D57" s="68"/>
      <c r="E57" s="79"/>
    </row>
    <row r="58" spans="1:5" hidden="1" outlineLevel="2" x14ac:dyDescent="0.2">
      <c r="B58" s="27" t="s">
        <v>166</v>
      </c>
      <c r="C58" s="28" t="s">
        <v>59</v>
      </c>
      <c r="D58" s="69"/>
      <c r="E58" s="80"/>
    </row>
    <row r="59" spans="1:5" hidden="1" outlineLevel="1" x14ac:dyDescent="0.2">
      <c r="B59" s="29" t="s">
        <v>53</v>
      </c>
      <c r="C59" s="30" t="s">
        <v>59</v>
      </c>
      <c r="D59" s="70">
        <f>SUM(D53:D58)</f>
        <v>0</v>
      </c>
      <c r="E59" s="81">
        <f>SUM(E53:E58)</f>
        <v>0</v>
      </c>
    </row>
    <row r="60" spans="1:5" hidden="1" outlineLevel="2" x14ac:dyDescent="0.2">
      <c r="B60" s="26" t="s">
        <v>167</v>
      </c>
      <c r="C60" s="11" t="s">
        <v>59</v>
      </c>
      <c r="D60" s="68"/>
      <c r="E60" s="79"/>
    </row>
    <row r="61" spans="1:5" hidden="1" outlineLevel="2" x14ac:dyDescent="0.2">
      <c r="B61" s="26" t="s">
        <v>168</v>
      </c>
      <c r="C61" s="11" t="s">
        <v>59</v>
      </c>
      <c r="D61" s="68"/>
      <c r="E61" s="79"/>
    </row>
    <row r="62" spans="1:5" hidden="1" outlineLevel="2" x14ac:dyDescent="0.2">
      <c r="B62" s="26" t="s">
        <v>169</v>
      </c>
      <c r="C62" s="11" t="s">
        <v>59</v>
      </c>
      <c r="D62" s="68"/>
      <c r="E62" s="79"/>
    </row>
    <row r="63" spans="1:5" hidden="1" outlineLevel="2" x14ac:dyDescent="0.2">
      <c r="B63" s="27" t="s">
        <v>170</v>
      </c>
      <c r="C63" s="28" t="s">
        <v>59</v>
      </c>
      <c r="D63" s="69"/>
      <c r="E63" s="80"/>
    </row>
    <row r="64" spans="1:5" hidden="1" outlineLevel="1" x14ac:dyDescent="0.2">
      <c r="B64" s="29" t="s">
        <v>54</v>
      </c>
      <c r="C64" s="30" t="s">
        <v>59</v>
      </c>
      <c r="D64" s="70">
        <f>SUM(D60:D63)</f>
        <v>0</v>
      </c>
      <c r="E64" s="81">
        <f>SUM(E60:E63)</f>
        <v>0</v>
      </c>
    </row>
    <row r="65" spans="2:5" hidden="1" outlineLevel="1" x14ac:dyDescent="0.2">
      <c r="B65" s="31" t="s">
        <v>171</v>
      </c>
      <c r="C65" s="32" t="s">
        <v>59</v>
      </c>
      <c r="D65" s="71">
        <f>D59-D64</f>
        <v>0</v>
      </c>
      <c r="E65" s="59">
        <f>E59+E64</f>
        <v>0</v>
      </c>
    </row>
    <row r="66" spans="2:5" hidden="1" outlineLevel="4" x14ac:dyDescent="0.2">
      <c r="B66" s="34" t="s">
        <v>172</v>
      </c>
      <c r="C66" s="28" t="s">
        <v>59</v>
      </c>
      <c r="D66" s="69"/>
      <c r="E66" s="80"/>
    </row>
    <row r="67" spans="2:5" hidden="1" outlineLevel="3" x14ac:dyDescent="0.2">
      <c r="B67" s="35" t="s">
        <v>55</v>
      </c>
      <c r="C67" s="30" t="s">
        <v>59</v>
      </c>
      <c r="D67" s="70">
        <f>SUM(D66)</f>
        <v>0</v>
      </c>
      <c r="E67" s="81">
        <f>SUM(E66)</f>
        <v>0</v>
      </c>
    </row>
    <row r="68" spans="2:5" hidden="1" outlineLevel="4" x14ac:dyDescent="0.2">
      <c r="B68" s="33" t="s">
        <v>173</v>
      </c>
      <c r="C68" s="11" t="s">
        <v>59</v>
      </c>
      <c r="D68" s="68"/>
      <c r="E68" s="82"/>
    </row>
    <row r="69" spans="2:5" hidden="1" outlineLevel="4" x14ac:dyDescent="0.2">
      <c r="B69" s="33" t="s">
        <v>174</v>
      </c>
      <c r="C69" s="11" t="s">
        <v>59</v>
      </c>
      <c r="D69" s="68"/>
      <c r="E69" s="82"/>
    </row>
    <row r="70" spans="2:5" hidden="1" outlineLevel="4" x14ac:dyDescent="0.2">
      <c r="B70" s="33" t="s">
        <v>175</v>
      </c>
      <c r="C70" s="11" t="s">
        <v>59</v>
      </c>
      <c r="D70" s="68"/>
      <c r="E70" s="82"/>
    </row>
    <row r="71" spans="2:5" hidden="1" outlineLevel="4" x14ac:dyDescent="0.2">
      <c r="B71" s="33" t="s">
        <v>176</v>
      </c>
      <c r="C71" s="11" t="s">
        <v>59</v>
      </c>
      <c r="D71" s="68"/>
      <c r="E71" s="82"/>
    </row>
    <row r="72" spans="2:5" hidden="1" outlineLevel="4" x14ac:dyDescent="0.2">
      <c r="B72" s="33" t="s">
        <v>177</v>
      </c>
      <c r="C72" s="11" t="s">
        <v>59</v>
      </c>
      <c r="D72" s="68"/>
      <c r="E72" s="82"/>
    </row>
    <row r="73" spans="2:5" hidden="1" outlineLevel="4" x14ac:dyDescent="0.2">
      <c r="B73" s="33" t="s">
        <v>178</v>
      </c>
      <c r="C73" s="11" t="s">
        <v>59</v>
      </c>
      <c r="D73" s="68"/>
      <c r="E73" s="82"/>
    </row>
    <row r="74" spans="2:5" hidden="1" outlineLevel="4" x14ac:dyDescent="0.2">
      <c r="B74" s="33" t="s">
        <v>179</v>
      </c>
      <c r="C74" s="11" t="s">
        <v>59</v>
      </c>
      <c r="D74" s="68"/>
      <c r="E74" s="82"/>
    </row>
    <row r="75" spans="2:5" hidden="1" outlineLevel="4" x14ac:dyDescent="0.2">
      <c r="B75" s="33" t="s">
        <v>180</v>
      </c>
      <c r="C75" s="11" t="s">
        <v>59</v>
      </c>
      <c r="D75" s="68"/>
      <c r="E75" s="82"/>
    </row>
    <row r="76" spans="2:5" hidden="1" outlineLevel="4" x14ac:dyDescent="0.2">
      <c r="B76" s="33" t="s">
        <v>181</v>
      </c>
      <c r="C76" s="11" t="s">
        <v>59</v>
      </c>
      <c r="D76" s="68"/>
      <c r="E76" s="82"/>
    </row>
    <row r="77" spans="2:5" hidden="1" outlineLevel="4" x14ac:dyDescent="0.2">
      <c r="B77" s="33" t="s">
        <v>182</v>
      </c>
      <c r="C77" s="11" t="s">
        <v>59</v>
      </c>
      <c r="D77" s="68"/>
      <c r="E77" s="82"/>
    </row>
    <row r="78" spans="2:5" hidden="1" outlineLevel="4" x14ac:dyDescent="0.2">
      <c r="B78" s="33" t="s">
        <v>183</v>
      </c>
      <c r="C78" s="11" t="s">
        <v>59</v>
      </c>
      <c r="D78" s="68"/>
      <c r="E78" s="82"/>
    </row>
    <row r="79" spans="2:5" hidden="1" outlineLevel="4" x14ac:dyDescent="0.2">
      <c r="B79" s="33" t="s">
        <v>184</v>
      </c>
      <c r="C79" s="11" t="s">
        <v>59</v>
      </c>
      <c r="D79" s="68"/>
      <c r="E79" s="82"/>
    </row>
    <row r="80" spans="2:5" hidden="1" outlineLevel="4" x14ac:dyDescent="0.2">
      <c r="B80" s="34" t="s">
        <v>185</v>
      </c>
      <c r="C80" s="28" t="s">
        <v>59</v>
      </c>
      <c r="D80" s="69"/>
      <c r="E80" s="83"/>
    </row>
    <row r="81" spans="2:5" hidden="1" outlineLevel="3" x14ac:dyDescent="0.2">
      <c r="B81" s="35" t="s">
        <v>56</v>
      </c>
      <c r="C81" s="30" t="s">
        <v>59</v>
      </c>
      <c r="D81" s="70">
        <f>SUM(D68:D80)</f>
        <v>0</v>
      </c>
      <c r="E81" s="81">
        <f>SUM(E68:E80)</f>
        <v>0</v>
      </c>
    </row>
    <row r="82" spans="2:5" hidden="1" outlineLevel="2" x14ac:dyDescent="0.2">
      <c r="B82" s="37" t="s">
        <v>57</v>
      </c>
      <c r="C82" s="30" t="s">
        <v>59</v>
      </c>
      <c r="D82" s="70">
        <f>D67+D81</f>
        <v>0</v>
      </c>
      <c r="E82" s="81">
        <f>E67+E81</f>
        <v>0</v>
      </c>
    </row>
    <row r="83" spans="2:5" collapsed="1" x14ac:dyDescent="0.2">
      <c r="B83" s="31" t="s">
        <v>58</v>
      </c>
      <c r="C83" s="32" t="s">
        <v>59</v>
      </c>
      <c r="D83" s="71">
        <f>D65-D82</f>
        <v>0</v>
      </c>
      <c r="E83" s="59">
        <f>E65+E82</f>
        <v>0</v>
      </c>
    </row>
    <row r="84" spans="2:5" hidden="1" outlineLevel="2" x14ac:dyDescent="0.2">
      <c r="B84" s="38" t="s">
        <v>61</v>
      </c>
      <c r="C84" s="11" t="s">
        <v>59</v>
      </c>
      <c r="D84" s="68"/>
      <c r="E84" s="82"/>
    </row>
    <row r="85" spans="2:5" hidden="1" outlineLevel="2" x14ac:dyDescent="0.2">
      <c r="B85" s="38" t="s">
        <v>62</v>
      </c>
      <c r="C85" s="11" t="s">
        <v>59</v>
      </c>
      <c r="D85" s="68"/>
      <c r="E85" s="82"/>
    </row>
    <row r="86" spans="2:5" hidden="1" outlineLevel="2" x14ac:dyDescent="0.2">
      <c r="B86" s="38" t="s">
        <v>63</v>
      </c>
      <c r="C86" s="11" t="s">
        <v>59</v>
      </c>
      <c r="D86" s="68"/>
      <c r="E86" s="82"/>
    </row>
    <row r="87" spans="2:5" hidden="1" outlineLevel="2" x14ac:dyDescent="0.2">
      <c r="B87" s="38" t="s">
        <v>64</v>
      </c>
      <c r="C87" s="11" t="s">
        <v>59</v>
      </c>
      <c r="D87" s="68"/>
      <c r="E87" s="82"/>
    </row>
    <row r="88" spans="2:5" hidden="1" outlineLevel="2" x14ac:dyDescent="0.2">
      <c r="B88" s="39" t="s">
        <v>65</v>
      </c>
      <c r="C88" s="21" t="s">
        <v>59</v>
      </c>
      <c r="D88" s="72"/>
      <c r="E88" s="84"/>
    </row>
    <row r="89" spans="2:5" hidden="1" outlineLevel="1" x14ac:dyDescent="0.2">
      <c r="B89" s="40" t="s">
        <v>66</v>
      </c>
      <c r="C89" s="36" t="s">
        <v>59</v>
      </c>
      <c r="D89" s="73">
        <f>SUM(D84:D88)</f>
        <v>0</v>
      </c>
      <c r="E89" s="60">
        <f>SUM(E84:E88)</f>
        <v>0</v>
      </c>
    </row>
    <row r="90" spans="2:5" hidden="1" outlineLevel="2" x14ac:dyDescent="0.2">
      <c r="B90" s="38" t="s">
        <v>67</v>
      </c>
      <c r="C90" s="11" t="s">
        <v>59</v>
      </c>
      <c r="D90" s="68"/>
      <c r="E90" s="82"/>
    </row>
    <row r="91" spans="2:5" hidden="1" outlineLevel="2" x14ac:dyDescent="0.2">
      <c r="B91" s="38" t="s">
        <v>68</v>
      </c>
      <c r="C91" s="11" t="s">
        <v>59</v>
      </c>
      <c r="D91" s="68"/>
      <c r="E91" s="82"/>
    </row>
    <row r="92" spans="2:5" hidden="1" outlineLevel="2" x14ac:dyDescent="0.2">
      <c r="B92" s="39" t="s">
        <v>69</v>
      </c>
      <c r="C92" s="21" t="s">
        <v>59</v>
      </c>
      <c r="D92" s="72"/>
      <c r="E92" s="84"/>
    </row>
    <row r="93" spans="2:5" hidden="1" outlineLevel="1" x14ac:dyDescent="0.2">
      <c r="B93" s="40" t="s">
        <v>70</v>
      </c>
      <c r="C93" s="36" t="s">
        <v>59</v>
      </c>
      <c r="D93" s="73">
        <f>SUM(D90:D92)</f>
        <v>0</v>
      </c>
      <c r="E93" s="60">
        <f>SUM(E90:E92)</f>
        <v>0</v>
      </c>
    </row>
    <row r="94" spans="2:5" collapsed="1" x14ac:dyDescent="0.2">
      <c r="B94" s="29" t="s">
        <v>71</v>
      </c>
      <c r="C94" s="30" t="s">
        <v>59</v>
      </c>
      <c r="D94" s="70">
        <f>D89+D93</f>
        <v>0</v>
      </c>
      <c r="E94" s="81">
        <f>E89+E93</f>
        <v>0</v>
      </c>
    </row>
    <row r="95" spans="2:5" x14ac:dyDescent="0.2">
      <c r="B95" s="31" t="s">
        <v>186</v>
      </c>
      <c r="C95" s="32" t="s">
        <v>59</v>
      </c>
      <c r="D95" s="71">
        <f>D83+D94</f>
        <v>0</v>
      </c>
      <c r="E95" s="59">
        <f>E83+E94</f>
        <v>0</v>
      </c>
    </row>
    <row r="96" spans="2:5" hidden="1" outlineLevel="1" x14ac:dyDescent="0.2">
      <c r="B96" s="26" t="s">
        <v>60</v>
      </c>
      <c r="C96" s="30" t="s">
        <v>59</v>
      </c>
      <c r="D96" s="70"/>
      <c r="E96" s="81"/>
    </row>
    <row r="97" spans="1:5" hidden="1" outlineLevel="1" x14ac:dyDescent="0.2">
      <c r="B97" s="26" t="s">
        <v>187</v>
      </c>
      <c r="C97" s="30" t="s">
        <v>59</v>
      </c>
      <c r="D97" s="70"/>
      <c r="E97" s="81"/>
    </row>
    <row r="98" spans="1:5" hidden="1" outlineLevel="1" x14ac:dyDescent="0.2">
      <c r="B98" s="26" t="s">
        <v>188</v>
      </c>
      <c r="C98" s="30" t="s">
        <v>59</v>
      </c>
      <c r="D98" s="70"/>
      <c r="E98" s="81"/>
    </row>
    <row r="99" spans="1:5" collapsed="1" x14ac:dyDescent="0.2">
      <c r="B99" s="29" t="s">
        <v>60</v>
      </c>
      <c r="C99" s="30" t="s">
        <v>59</v>
      </c>
      <c r="D99" s="70">
        <f>SUM(D96:D98)</f>
        <v>0</v>
      </c>
      <c r="E99" s="81">
        <f>SUM(E96:E98)</f>
        <v>0</v>
      </c>
    </row>
    <row r="100" spans="1:5" x14ac:dyDescent="0.2">
      <c r="B100" s="31" t="s">
        <v>72</v>
      </c>
      <c r="C100" s="32" t="s">
        <v>59</v>
      </c>
      <c r="D100" s="71">
        <f>D95+D99</f>
        <v>0</v>
      </c>
      <c r="E100" s="59">
        <f>E95+E99</f>
        <v>0</v>
      </c>
    </row>
    <row r="101" spans="1:5" hidden="1" outlineLevel="1" x14ac:dyDescent="0.2">
      <c r="B101" s="26" t="s">
        <v>189</v>
      </c>
      <c r="C101" s="11" t="s">
        <v>59</v>
      </c>
      <c r="D101" s="68"/>
      <c r="E101" s="79"/>
    </row>
    <row r="102" spans="1:5" hidden="1" outlineLevel="1" x14ac:dyDescent="0.2">
      <c r="B102" s="27" t="s">
        <v>190</v>
      </c>
      <c r="C102" s="28" t="s">
        <v>59</v>
      </c>
      <c r="D102" s="69"/>
      <c r="E102" s="80"/>
    </row>
    <row r="103" spans="1:5" collapsed="1" x14ac:dyDescent="0.2">
      <c r="B103" s="29" t="s">
        <v>74</v>
      </c>
      <c r="C103" s="30" t="s">
        <v>59</v>
      </c>
      <c r="D103" s="70">
        <f>SUM(D101:D102)</f>
        <v>0</v>
      </c>
      <c r="E103" s="81">
        <f>SUM(E101:E102)</f>
        <v>0</v>
      </c>
    </row>
    <row r="104" spans="1:5" x14ac:dyDescent="0.2">
      <c r="B104" s="31" t="s">
        <v>75</v>
      </c>
      <c r="C104" s="32" t="s">
        <v>59</v>
      </c>
      <c r="D104" s="71">
        <f>D100+D103</f>
        <v>0</v>
      </c>
      <c r="E104" s="59">
        <f>E100+E103</f>
        <v>0</v>
      </c>
    </row>
    <row r="105" spans="1:5" x14ac:dyDescent="0.2">
      <c r="B105" s="6"/>
      <c r="C105" s="11"/>
      <c r="D105" s="11"/>
      <c r="E105" s="58"/>
    </row>
    <row r="106" spans="1:5" x14ac:dyDescent="0.2">
      <c r="A106" s="7" t="s">
        <v>76</v>
      </c>
      <c r="B106" s="41"/>
      <c r="C106" s="42"/>
      <c r="D106" s="42"/>
      <c r="E106" s="61"/>
    </row>
    <row r="107" spans="1:5" x14ac:dyDescent="0.2">
      <c r="C107" s="13"/>
      <c r="D107" s="13"/>
      <c r="E107" s="62"/>
    </row>
    <row r="108" spans="1:5" hidden="1" outlineLevel="1" x14ac:dyDescent="0.2">
      <c r="B108" s="43" t="s">
        <v>75</v>
      </c>
      <c r="C108" s="13" t="s">
        <v>59</v>
      </c>
      <c r="D108" s="74">
        <f>D104</f>
        <v>0</v>
      </c>
      <c r="E108" s="110"/>
    </row>
    <row r="109" spans="1:5" hidden="1" outlineLevel="1" x14ac:dyDescent="0.2">
      <c r="B109" s="43" t="s">
        <v>77</v>
      </c>
      <c r="C109" s="13" t="s">
        <v>59</v>
      </c>
      <c r="D109" s="74">
        <f>-D94</f>
        <v>0</v>
      </c>
      <c r="E109" s="110"/>
    </row>
    <row r="110" spans="1:5" hidden="1" outlineLevel="1" x14ac:dyDescent="0.2">
      <c r="B110" s="43" t="s">
        <v>78</v>
      </c>
      <c r="C110" s="13" t="s">
        <v>59</v>
      </c>
      <c r="D110" s="74"/>
      <c r="E110" s="110"/>
    </row>
    <row r="111" spans="1:5" hidden="1" outlineLevel="1" x14ac:dyDescent="0.2">
      <c r="B111" s="43" t="s">
        <v>79</v>
      </c>
      <c r="C111" s="13" t="s">
        <v>59</v>
      </c>
      <c r="D111" s="74">
        <f>D166</f>
        <v>0</v>
      </c>
      <c r="E111" s="110"/>
    </row>
    <row r="112" spans="1:5" hidden="1" outlineLevel="1" x14ac:dyDescent="0.2">
      <c r="B112" s="43" t="s">
        <v>80</v>
      </c>
      <c r="C112" s="13" t="s">
        <v>59</v>
      </c>
      <c r="D112" s="74"/>
      <c r="E112" s="110"/>
    </row>
    <row r="113" spans="2:5" hidden="1" outlineLevel="1" x14ac:dyDescent="0.2">
      <c r="B113" s="43" t="s">
        <v>81</v>
      </c>
      <c r="C113" s="13" t="s">
        <v>59</v>
      </c>
      <c r="D113" s="74"/>
      <c r="E113" s="110"/>
    </row>
    <row r="114" spans="2:5" hidden="1" outlineLevel="1" x14ac:dyDescent="0.2">
      <c r="B114" s="44" t="s">
        <v>73</v>
      </c>
      <c r="C114" s="13" t="s">
        <v>59</v>
      </c>
      <c r="D114" s="74"/>
      <c r="E114" s="110"/>
    </row>
    <row r="115" spans="2:5" hidden="1" outlineLevel="1" x14ac:dyDescent="0.2">
      <c r="B115" s="44" t="s">
        <v>82</v>
      </c>
      <c r="C115" s="13" t="s">
        <v>59</v>
      </c>
      <c r="D115" s="74"/>
      <c r="E115" s="110"/>
    </row>
    <row r="116" spans="2:5" hidden="1" outlineLevel="1" x14ac:dyDescent="0.2">
      <c r="B116" s="44" t="s">
        <v>83</v>
      </c>
      <c r="C116" s="13" t="s">
        <v>59</v>
      </c>
      <c r="D116" s="74"/>
      <c r="E116" s="110"/>
    </row>
    <row r="117" spans="2:5" hidden="1" outlineLevel="1" x14ac:dyDescent="0.2">
      <c r="B117" s="44" t="s">
        <v>84</v>
      </c>
      <c r="C117" s="13" t="s">
        <v>59</v>
      </c>
      <c r="D117" s="74"/>
      <c r="E117" s="110"/>
    </row>
    <row r="118" spans="2:5" hidden="1" outlineLevel="1" x14ac:dyDescent="0.2">
      <c r="B118" s="43" t="s">
        <v>85</v>
      </c>
      <c r="C118" s="13" t="s">
        <v>59</v>
      </c>
      <c r="D118" s="74">
        <f>SUM(D114:D117)</f>
        <v>0</v>
      </c>
      <c r="E118" s="110"/>
    </row>
    <row r="119" spans="2:5" collapsed="1" x14ac:dyDescent="0.2">
      <c r="B119" s="45" t="s">
        <v>86</v>
      </c>
      <c r="C119" s="46" t="s">
        <v>59</v>
      </c>
      <c r="D119" s="75">
        <f>SUM(D108:D113,D118)</f>
        <v>0</v>
      </c>
      <c r="E119" s="111"/>
    </row>
    <row r="120" spans="2:5" x14ac:dyDescent="0.2">
      <c r="C120" s="13"/>
      <c r="D120" s="13"/>
      <c r="E120" s="63"/>
    </row>
    <row r="121" spans="2:5" hidden="1" outlineLevel="1" x14ac:dyDescent="0.2">
      <c r="B121" s="43" t="s">
        <v>87</v>
      </c>
      <c r="C121" s="13" t="s">
        <v>59</v>
      </c>
      <c r="D121" s="74">
        <f>D173</f>
        <v>0</v>
      </c>
      <c r="E121" s="110"/>
    </row>
    <row r="122" spans="2:5" hidden="1" outlineLevel="1" x14ac:dyDescent="0.2">
      <c r="B122" s="43" t="s">
        <v>88</v>
      </c>
      <c r="C122" s="13" t="s">
        <v>59</v>
      </c>
      <c r="D122" s="74"/>
      <c r="E122" s="110"/>
    </row>
    <row r="123" spans="2:5" hidden="1" outlineLevel="1" x14ac:dyDescent="0.2">
      <c r="B123" s="43" t="s">
        <v>89</v>
      </c>
      <c r="C123" s="13" t="s">
        <v>59</v>
      </c>
      <c r="D123" s="74"/>
      <c r="E123" s="110"/>
    </row>
    <row r="124" spans="2:5" hidden="1" outlineLevel="1" x14ac:dyDescent="0.2">
      <c r="B124" s="43" t="s">
        <v>90</v>
      </c>
      <c r="C124" s="13" t="s">
        <v>59</v>
      </c>
      <c r="D124" s="74"/>
      <c r="E124" s="110"/>
    </row>
    <row r="125" spans="2:5" collapsed="1" x14ac:dyDescent="0.2">
      <c r="B125" s="45" t="s">
        <v>91</v>
      </c>
      <c r="C125" s="46" t="s">
        <v>59</v>
      </c>
      <c r="D125" s="75">
        <f>-SUM(D121:D124)</f>
        <v>0</v>
      </c>
      <c r="E125" s="111"/>
    </row>
    <row r="126" spans="2:5" x14ac:dyDescent="0.2">
      <c r="C126" s="13"/>
      <c r="D126" s="13"/>
      <c r="E126" s="62"/>
    </row>
    <row r="127" spans="2:5" hidden="1" outlineLevel="1" x14ac:dyDescent="0.2">
      <c r="B127" s="43" t="s">
        <v>92</v>
      </c>
      <c r="C127" s="13" t="s">
        <v>59</v>
      </c>
      <c r="D127" s="74"/>
      <c r="E127" s="110"/>
    </row>
    <row r="128" spans="2:5" hidden="1" outlineLevel="1" x14ac:dyDescent="0.2">
      <c r="B128" s="43" t="s">
        <v>93</v>
      </c>
      <c r="C128" s="13" t="s">
        <v>59</v>
      </c>
      <c r="D128" s="74"/>
      <c r="E128" s="110"/>
    </row>
    <row r="129" spans="1:5" hidden="1" outlineLevel="1" x14ac:dyDescent="0.2">
      <c r="B129" s="43" t="s">
        <v>94</v>
      </c>
      <c r="C129" s="13" t="s">
        <v>59</v>
      </c>
      <c r="D129" s="74"/>
      <c r="E129" s="110"/>
    </row>
    <row r="130" spans="1:5" hidden="1" outlineLevel="1" x14ac:dyDescent="0.2">
      <c r="B130" s="43" t="s">
        <v>95</v>
      </c>
      <c r="C130" s="13" t="s">
        <v>59</v>
      </c>
      <c r="D130" s="74"/>
      <c r="E130" s="110"/>
    </row>
    <row r="131" spans="1:5" hidden="1" outlineLevel="1" x14ac:dyDescent="0.2">
      <c r="B131" s="43" t="s">
        <v>96</v>
      </c>
      <c r="C131" s="13" t="s">
        <v>59</v>
      </c>
      <c r="D131" s="74"/>
      <c r="E131" s="110"/>
    </row>
    <row r="132" spans="1:5" hidden="1" outlineLevel="1" x14ac:dyDescent="0.2">
      <c r="B132" s="43" t="s">
        <v>97</v>
      </c>
      <c r="C132" s="13" t="s">
        <v>59</v>
      </c>
      <c r="D132" s="74"/>
      <c r="E132" s="110"/>
    </row>
    <row r="133" spans="1:5" hidden="1" outlineLevel="1" x14ac:dyDescent="0.2">
      <c r="B133" s="43" t="s">
        <v>98</v>
      </c>
      <c r="C133" s="13" t="s">
        <v>59</v>
      </c>
      <c r="D133" s="74"/>
      <c r="E133" s="110"/>
    </row>
    <row r="134" spans="1:5" hidden="1" outlineLevel="1" x14ac:dyDescent="0.2">
      <c r="B134" s="43" t="s">
        <v>99</v>
      </c>
      <c r="C134" s="13" t="s">
        <v>59</v>
      </c>
      <c r="D134" s="74"/>
      <c r="E134" s="110"/>
    </row>
    <row r="135" spans="1:5" hidden="1" outlineLevel="1" x14ac:dyDescent="0.2">
      <c r="B135" s="43" t="s">
        <v>100</v>
      </c>
      <c r="C135" s="13" t="s">
        <v>59</v>
      </c>
      <c r="D135" s="74"/>
      <c r="E135" s="110"/>
    </row>
    <row r="136" spans="1:5" hidden="1" outlineLevel="1" x14ac:dyDescent="0.2">
      <c r="B136" s="43" t="s">
        <v>101</v>
      </c>
      <c r="C136" s="13" t="s">
        <v>59</v>
      </c>
      <c r="D136" s="74"/>
      <c r="E136" s="110"/>
    </row>
    <row r="137" spans="1:5" hidden="1" outlineLevel="1" x14ac:dyDescent="0.2">
      <c r="B137" s="43" t="s">
        <v>52</v>
      </c>
      <c r="C137" s="13" t="s">
        <v>59</v>
      </c>
      <c r="D137" s="74"/>
      <c r="E137" s="110"/>
    </row>
    <row r="138" spans="1:5" collapsed="1" x14ac:dyDescent="0.2">
      <c r="B138" s="45" t="s">
        <v>102</v>
      </c>
      <c r="C138" s="46" t="s">
        <v>59</v>
      </c>
      <c r="D138" s="75">
        <f>SUM(D127:D137)</f>
        <v>0</v>
      </c>
      <c r="E138" s="111"/>
    </row>
    <row r="139" spans="1:5" x14ac:dyDescent="0.2">
      <c r="C139" s="13"/>
      <c r="D139" s="13"/>
      <c r="E139" s="62"/>
    </row>
    <row r="140" spans="1:5" x14ac:dyDescent="0.2">
      <c r="B140" s="47" t="s">
        <v>103</v>
      </c>
      <c r="C140" s="48" t="s">
        <v>59</v>
      </c>
      <c r="D140" s="76">
        <f>D119+D125+D138</f>
        <v>0</v>
      </c>
      <c r="E140" s="112"/>
    </row>
    <row r="141" spans="1:5" x14ac:dyDescent="0.2">
      <c r="C141" s="13"/>
      <c r="D141" s="13"/>
      <c r="E141" s="62"/>
    </row>
    <row r="142" spans="1:5" x14ac:dyDescent="0.2">
      <c r="A142" s="7" t="s">
        <v>191</v>
      </c>
      <c r="B142" s="41"/>
      <c r="C142" s="42"/>
      <c r="D142" s="42"/>
      <c r="E142" s="61"/>
    </row>
    <row r="143" spans="1:5" x14ac:dyDescent="0.2">
      <c r="C143" s="13"/>
      <c r="D143" s="13"/>
      <c r="E143" s="62"/>
    </row>
    <row r="144" spans="1:5" hidden="1" outlineLevel="3" x14ac:dyDescent="0.2">
      <c r="B144" s="78" t="s">
        <v>38</v>
      </c>
      <c r="C144" s="13"/>
      <c r="D144" s="74"/>
      <c r="E144" s="113"/>
    </row>
    <row r="145" spans="2:5" hidden="1" outlineLevel="3" x14ac:dyDescent="0.2">
      <c r="B145" s="78" t="s">
        <v>194</v>
      </c>
      <c r="C145" s="13"/>
      <c r="D145" s="74"/>
      <c r="E145" s="113"/>
    </row>
    <row r="146" spans="2:5" hidden="1" outlineLevel="3" x14ac:dyDescent="0.2">
      <c r="B146" s="22" t="s">
        <v>39</v>
      </c>
      <c r="C146" s="15"/>
      <c r="D146" s="77"/>
      <c r="E146" s="114"/>
    </row>
    <row r="147" spans="2:5" hidden="1" outlineLevel="2" collapsed="1" x14ac:dyDescent="0.2">
      <c r="B147" s="1" t="s">
        <v>195</v>
      </c>
      <c r="C147" s="13"/>
      <c r="D147" s="74">
        <f>SUM(D144:D146)</f>
        <v>0</v>
      </c>
      <c r="E147" s="113"/>
    </row>
    <row r="148" spans="2:5" hidden="1" outlineLevel="2" x14ac:dyDescent="0.2">
      <c r="B148" s="1" t="s">
        <v>118</v>
      </c>
      <c r="C148" s="13"/>
      <c r="D148" s="74"/>
      <c r="E148" s="113"/>
    </row>
    <row r="149" spans="2:5" hidden="1" outlineLevel="2" x14ac:dyDescent="0.2">
      <c r="B149" s="1" t="s">
        <v>124</v>
      </c>
      <c r="C149" s="13"/>
      <c r="D149" s="74"/>
      <c r="E149" s="113"/>
    </row>
    <row r="150" spans="2:5" hidden="1" outlineLevel="2" x14ac:dyDescent="0.2">
      <c r="B150" s="1" t="s">
        <v>125</v>
      </c>
      <c r="C150" s="13"/>
      <c r="D150" s="74"/>
      <c r="E150" s="113"/>
    </row>
    <row r="151" spans="2:5" hidden="1" outlineLevel="2" x14ac:dyDescent="0.2">
      <c r="B151" s="1" t="s">
        <v>126</v>
      </c>
      <c r="C151" s="13"/>
      <c r="D151" s="74"/>
      <c r="E151" s="113"/>
    </row>
    <row r="152" spans="2:5" hidden="1" outlineLevel="2" x14ac:dyDescent="0.2">
      <c r="B152" s="1" t="s">
        <v>127</v>
      </c>
      <c r="C152" s="13"/>
      <c r="D152" s="74"/>
      <c r="E152" s="113"/>
    </row>
    <row r="153" spans="2:5" hidden="1" outlineLevel="1" collapsed="1" x14ac:dyDescent="0.2">
      <c r="B153" s="45" t="s">
        <v>129</v>
      </c>
      <c r="C153" s="46"/>
      <c r="D153" s="75">
        <f>SUM(D147,D148:D152)</f>
        <v>0</v>
      </c>
      <c r="E153" s="115"/>
    </row>
    <row r="154" spans="2:5" hidden="1" outlineLevel="1" x14ac:dyDescent="0.2">
      <c r="C154" s="13"/>
      <c r="D154" s="13"/>
      <c r="E154" s="62"/>
    </row>
    <row r="155" spans="2:5" hidden="1" outlineLevel="2" x14ac:dyDescent="0.2">
      <c r="B155" s="78" t="s">
        <v>43</v>
      </c>
      <c r="C155" s="13"/>
      <c r="D155" s="74"/>
      <c r="E155" s="113"/>
    </row>
    <row r="156" spans="2:5" hidden="1" outlineLevel="2" x14ac:dyDescent="0.2">
      <c r="B156" s="22" t="s">
        <v>40</v>
      </c>
      <c r="C156" s="15"/>
      <c r="D156" s="77"/>
      <c r="E156" s="114"/>
    </row>
    <row r="157" spans="2:5" hidden="1" outlineLevel="2" x14ac:dyDescent="0.2">
      <c r="B157" s="1" t="s">
        <v>196</v>
      </c>
      <c r="C157" s="13"/>
      <c r="D157" s="74">
        <f>SUM(D155:D156)</f>
        <v>0</v>
      </c>
      <c r="E157" s="113"/>
    </row>
    <row r="158" spans="2:5" hidden="1" outlineLevel="2" x14ac:dyDescent="0.2">
      <c r="B158" s="1" t="s">
        <v>148</v>
      </c>
      <c r="C158" s="13"/>
      <c r="D158" s="74"/>
      <c r="E158" s="113"/>
    </row>
    <row r="159" spans="2:5" hidden="1" outlineLevel="2" x14ac:dyDescent="0.2">
      <c r="B159" s="1" t="s">
        <v>153</v>
      </c>
      <c r="C159" s="13"/>
      <c r="D159" s="74"/>
      <c r="E159" s="113"/>
    </row>
    <row r="160" spans="2:5" hidden="1" outlineLevel="2" x14ac:dyDescent="0.2">
      <c r="B160" s="1" t="s">
        <v>154</v>
      </c>
      <c r="C160" s="13"/>
      <c r="D160" s="74"/>
      <c r="E160" s="113"/>
    </row>
    <row r="161" spans="1:5" hidden="1" outlineLevel="2" x14ac:dyDescent="0.2">
      <c r="B161" s="1" t="s">
        <v>155</v>
      </c>
      <c r="C161" s="13"/>
      <c r="D161" s="74"/>
      <c r="E161" s="113"/>
    </row>
    <row r="162" spans="1:5" hidden="1" outlineLevel="2" x14ac:dyDescent="0.2">
      <c r="B162" s="1" t="s">
        <v>156</v>
      </c>
      <c r="C162" s="13"/>
      <c r="D162" s="74"/>
      <c r="E162" s="113"/>
    </row>
    <row r="163" spans="1:5" hidden="1" outlineLevel="2" x14ac:dyDescent="0.2">
      <c r="B163" s="1" t="s">
        <v>157</v>
      </c>
      <c r="C163" s="13"/>
      <c r="D163" s="74"/>
      <c r="E163" s="113"/>
    </row>
    <row r="164" spans="1:5" hidden="1" outlineLevel="1" collapsed="1" x14ac:dyDescent="0.2">
      <c r="B164" s="45" t="s">
        <v>158</v>
      </c>
      <c r="C164" s="46"/>
      <c r="D164" s="75">
        <f>SUM(D157:D163)</f>
        <v>0</v>
      </c>
      <c r="E164" s="115"/>
    </row>
    <row r="165" spans="1:5" hidden="1" outlineLevel="1" x14ac:dyDescent="0.2">
      <c r="C165" s="13"/>
      <c r="D165" s="13"/>
      <c r="E165" s="62"/>
    </row>
    <row r="166" spans="1:5" collapsed="1" x14ac:dyDescent="0.2">
      <c r="B166" s="49" t="s">
        <v>192</v>
      </c>
      <c r="C166" s="13" t="s">
        <v>59</v>
      </c>
      <c r="D166" s="74">
        <f>-D153+D164</f>
        <v>0</v>
      </c>
      <c r="E166" s="113"/>
    </row>
    <row r="167" spans="1:5" x14ac:dyDescent="0.2">
      <c r="C167" s="13"/>
      <c r="D167" s="13"/>
      <c r="E167" s="62"/>
    </row>
    <row r="168" spans="1:5" x14ac:dyDescent="0.2">
      <c r="A168" s="7" t="s">
        <v>87</v>
      </c>
      <c r="B168" s="41"/>
      <c r="C168" s="42"/>
      <c r="D168" s="42"/>
      <c r="E168" s="61"/>
    </row>
    <row r="169" spans="1:5" x14ac:dyDescent="0.2">
      <c r="C169" s="13"/>
      <c r="D169" s="13"/>
      <c r="E169" s="62"/>
    </row>
    <row r="170" spans="1:5" hidden="1" outlineLevel="1" x14ac:dyDescent="0.2">
      <c r="B170" s="50" t="s">
        <v>104</v>
      </c>
      <c r="C170" s="51"/>
      <c r="D170" s="51"/>
      <c r="E170" s="116"/>
    </row>
    <row r="171" spans="1:5" hidden="1" outlineLevel="1" x14ac:dyDescent="0.2">
      <c r="C171" s="52"/>
      <c r="D171" s="74"/>
      <c r="E171" s="117"/>
    </row>
    <row r="172" spans="1:5" hidden="1" outlineLevel="1" x14ac:dyDescent="0.2">
      <c r="C172" s="52"/>
      <c r="D172" s="74"/>
      <c r="E172" s="117"/>
    </row>
    <row r="173" spans="1:5" collapsed="1" x14ac:dyDescent="0.2">
      <c r="B173" s="47" t="s">
        <v>105</v>
      </c>
      <c r="C173" s="53" t="s">
        <v>59</v>
      </c>
      <c r="D173" s="76">
        <f>SUM(D171:D172)</f>
        <v>0</v>
      </c>
      <c r="E173" s="118"/>
    </row>
    <row r="174" spans="1:5" x14ac:dyDescent="0.2">
      <c r="C174" s="13"/>
      <c r="D174" s="13"/>
      <c r="E174" s="62"/>
    </row>
    <row r="175" spans="1:5" x14ac:dyDescent="0.2">
      <c r="A175" s="7" t="s">
        <v>106</v>
      </c>
      <c r="B175" s="8"/>
      <c r="C175" s="9"/>
      <c r="D175" s="9"/>
      <c r="E175" s="57"/>
    </row>
    <row r="176" spans="1:5" x14ac:dyDescent="0.2">
      <c r="B176" s="6"/>
      <c r="C176" s="11"/>
      <c r="D176" s="11"/>
      <c r="E176" s="58"/>
    </row>
    <row r="177" spans="2:5" hidden="1" outlineLevel="2" x14ac:dyDescent="0.2">
      <c r="B177" s="10" t="s">
        <v>107</v>
      </c>
      <c r="C177" s="11" t="s">
        <v>59</v>
      </c>
      <c r="D177" s="68" t="e">
        <f>C177+D94+D173</f>
        <v>#VALUE!</v>
      </c>
      <c r="E177" s="79"/>
    </row>
    <row r="178" spans="2:5" hidden="1" outlineLevel="2" x14ac:dyDescent="0.2">
      <c r="B178" s="10" t="s">
        <v>108</v>
      </c>
      <c r="C178" s="11" t="s">
        <v>59</v>
      </c>
      <c r="D178" s="68" t="str">
        <f>C178</f>
        <v>€</v>
      </c>
      <c r="E178" s="79"/>
    </row>
    <row r="179" spans="2:5" hidden="1" outlineLevel="2" x14ac:dyDescent="0.2">
      <c r="B179" s="43" t="s">
        <v>90</v>
      </c>
      <c r="C179" s="13" t="s">
        <v>59</v>
      </c>
      <c r="D179" s="74" t="str">
        <f t="shared" ref="D179:D189" si="0">C179</f>
        <v>€</v>
      </c>
      <c r="E179" s="85"/>
    </row>
    <row r="180" spans="2:5" hidden="1" outlineLevel="3" x14ac:dyDescent="0.2">
      <c r="B180" s="44" t="s">
        <v>109</v>
      </c>
      <c r="C180" s="13" t="s">
        <v>59</v>
      </c>
      <c r="D180" s="74" t="str">
        <f t="shared" si="0"/>
        <v>€</v>
      </c>
      <c r="E180" s="85"/>
    </row>
    <row r="181" spans="2:5" hidden="1" outlineLevel="3" x14ac:dyDescent="0.2">
      <c r="B181" s="44" t="s">
        <v>110</v>
      </c>
      <c r="C181" s="13" t="s">
        <v>59</v>
      </c>
      <c r="D181" s="74" t="str">
        <f t="shared" si="0"/>
        <v>€</v>
      </c>
      <c r="E181" s="85"/>
    </row>
    <row r="182" spans="2:5" hidden="1" outlineLevel="3" x14ac:dyDescent="0.2">
      <c r="B182" s="54" t="s">
        <v>111</v>
      </c>
      <c r="C182" s="15" t="s">
        <v>59</v>
      </c>
      <c r="D182" s="77" t="str">
        <f t="shared" si="0"/>
        <v>€</v>
      </c>
      <c r="E182" s="87"/>
    </row>
    <row r="183" spans="2:5" hidden="1" outlineLevel="2" x14ac:dyDescent="0.2">
      <c r="B183" s="43" t="s">
        <v>111</v>
      </c>
      <c r="C183" s="13" t="s">
        <v>59</v>
      </c>
      <c r="D183" s="74">
        <f>SUM(D180:D182)</f>
        <v>0</v>
      </c>
      <c r="E183" s="85">
        <f>SUM(E180:E182)</f>
        <v>0</v>
      </c>
    </row>
    <row r="184" spans="2:5" hidden="1" outlineLevel="2" x14ac:dyDescent="0.2">
      <c r="B184" s="43" t="s">
        <v>112</v>
      </c>
      <c r="C184" s="13" t="s">
        <v>59</v>
      </c>
      <c r="D184" s="74" t="str">
        <f t="shared" si="0"/>
        <v>€</v>
      </c>
      <c r="E184" s="85"/>
    </row>
    <row r="185" spans="2:5" hidden="1" outlineLevel="2" x14ac:dyDescent="0.2">
      <c r="B185" s="43" t="s">
        <v>113</v>
      </c>
      <c r="C185" s="13" t="s">
        <v>59</v>
      </c>
      <c r="D185" s="74" t="str">
        <f t="shared" si="0"/>
        <v>€</v>
      </c>
      <c r="E185" s="85"/>
    </row>
    <row r="186" spans="2:5" hidden="1" outlineLevel="1" x14ac:dyDescent="0.2">
      <c r="B186" s="45" t="s">
        <v>114</v>
      </c>
      <c r="C186" s="46" t="s">
        <v>59</v>
      </c>
      <c r="D186" s="75" t="e">
        <f>SUM(D177:D179,D183,D184:D185)</f>
        <v>#VALUE!</v>
      </c>
      <c r="E186" s="86">
        <f>SUM(E177:E179,E183,E184:E185)</f>
        <v>0</v>
      </c>
    </row>
    <row r="187" spans="2:5" hidden="1" outlineLevel="3" x14ac:dyDescent="0.2">
      <c r="B187" s="44" t="s">
        <v>115</v>
      </c>
      <c r="C187" s="13" t="s">
        <v>59</v>
      </c>
      <c r="D187" s="74" t="str">
        <f t="shared" si="0"/>
        <v>€</v>
      </c>
      <c r="E187" s="85"/>
    </row>
    <row r="188" spans="2:5" hidden="1" outlineLevel="3" x14ac:dyDescent="0.2">
      <c r="B188" s="44" t="s">
        <v>116</v>
      </c>
      <c r="C188" s="13" t="s">
        <v>59</v>
      </c>
      <c r="D188" s="74" t="e">
        <f>C188+D148</f>
        <v>#VALUE!</v>
      </c>
      <c r="E188" s="85"/>
    </row>
    <row r="189" spans="2:5" hidden="1" outlineLevel="3" x14ac:dyDescent="0.2">
      <c r="B189" s="54" t="s">
        <v>117</v>
      </c>
      <c r="C189" s="15" t="s">
        <v>59</v>
      </c>
      <c r="D189" s="77" t="str">
        <f t="shared" si="0"/>
        <v>€</v>
      </c>
      <c r="E189" s="87"/>
    </row>
    <row r="190" spans="2:5" hidden="1" outlineLevel="2" x14ac:dyDescent="0.2">
      <c r="B190" s="43" t="s">
        <v>118</v>
      </c>
      <c r="C190" s="13" t="s">
        <v>59</v>
      </c>
      <c r="D190" s="74" t="e">
        <f>SUM(D187:D189)</f>
        <v>#VALUE!</v>
      </c>
      <c r="E190" s="85">
        <f>SUM(E187:E189)</f>
        <v>0</v>
      </c>
    </row>
    <row r="191" spans="2:5" hidden="1" outlineLevel="3" x14ac:dyDescent="0.2">
      <c r="B191" s="44" t="s">
        <v>119</v>
      </c>
      <c r="C191" s="13" t="s">
        <v>59</v>
      </c>
      <c r="D191" s="74" t="e">
        <f>C191+D147</f>
        <v>#VALUE!</v>
      </c>
      <c r="E191" s="85"/>
    </row>
    <row r="192" spans="2:5" hidden="1" outlineLevel="3" x14ac:dyDescent="0.2">
      <c r="B192" s="44" t="s">
        <v>120</v>
      </c>
      <c r="C192" s="13" t="s">
        <v>59</v>
      </c>
      <c r="D192" s="74" t="str">
        <f t="shared" ref="D192:D200" si="1">C192</f>
        <v>€</v>
      </c>
      <c r="E192" s="85"/>
    </row>
    <row r="193" spans="2:5" hidden="1" outlineLevel="3" x14ac:dyDescent="0.2">
      <c r="B193" s="54" t="s">
        <v>121</v>
      </c>
      <c r="C193" s="15" t="s">
        <v>59</v>
      </c>
      <c r="D193" s="77" t="str">
        <f t="shared" si="1"/>
        <v>€</v>
      </c>
      <c r="E193" s="87"/>
    </row>
    <row r="194" spans="2:5" hidden="1" outlineLevel="2" x14ac:dyDescent="0.2">
      <c r="B194" s="43" t="s">
        <v>122</v>
      </c>
      <c r="C194" s="13" t="s">
        <v>59</v>
      </c>
      <c r="D194" s="74" t="e">
        <f>SUM(D191:D193)</f>
        <v>#VALUE!</v>
      </c>
      <c r="E194" s="85">
        <f>SUM(E191:E193)</f>
        <v>0</v>
      </c>
    </row>
    <row r="195" spans="2:5" hidden="1" outlineLevel="3" x14ac:dyDescent="0.2">
      <c r="B195" s="44" t="s">
        <v>123</v>
      </c>
      <c r="C195" s="13" t="s">
        <v>59</v>
      </c>
      <c r="D195" s="74" t="str">
        <f t="shared" si="1"/>
        <v>€</v>
      </c>
      <c r="E195" s="85"/>
    </row>
    <row r="196" spans="2:5" hidden="1" outlineLevel="3" x14ac:dyDescent="0.2">
      <c r="B196" s="54" t="s">
        <v>124</v>
      </c>
      <c r="C196" s="15" t="s">
        <v>59</v>
      </c>
      <c r="D196" s="77" t="str">
        <f t="shared" si="1"/>
        <v>€</v>
      </c>
      <c r="E196" s="87"/>
    </row>
    <row r="197" spans="2:5" hidden="1" outlineLevel="2" x14ac:dyDescent="0.2">
      <c r="B197" s="43" t="s">
        <v>124</v>
      </c>
      <c r="C197" s="13" t="s">
        <v>59</v>
      </c>
      <c r="D197" s="74">
        <f>SUM(D195:D196)</f>
        <v>0</v>
      </c>
      <c r="E197" s="85">
        <f>SUM(E195:E196)</f>
        <v>0</v>
      </c>
    </row>
    <row r="198" spans="2:5" hidden="1" outlineLevel="2" x14ac:dyDescent="0.2">
      <c r="B198" s="43" t="s">
        <v>125</v>
      </c>
      <c r="C198" s="13" t="s">
        <v>59</v>
      </c>
      <c r="D198" s="74" t="str">
        <f t="shared" si="1"/>
        <v>€</v>
      </c>
      <c r="E198" s="85"/>
    </row>
    <row r="199" spans="2:5" hidden="1" outlineLevel="2" x14ac:dyDescent="0.2">
      <c r="B199" s="43" t="s">
        <v>126</v>
      </c>
      <c r="C199" s="13" t="s">
        <v>59</v>
      </c>
      <c r="D199" s="74" t="str">
        <f t="shared" si="1"/>
        <v>€</v>
      </c>
      <c r="E199" s="85"/>
    </row>
    <row r="200" spans="2:5" hidden="1" outlineLevel="2" x14ac:dyDescent="0.2">
      <c r="B200" s="43" t="s">
        <v>127</v>
      </c>
      <c r="C200" s="13" t="s">
        <v>59</v>
      </c>
      <c r="D200" s="74" t="str">
        <f t="shared" si="1"/>
        <v>€</v>
      </c>
      <c r="E200" s="85"/>
    </row>
    <row r="201" spans="2:5" hidden="1" outlineLevel="2" x14ac:dyDescent="0.2">
      <c r="B201" s="43" t="s">
        <v>128</v>
      </c>
      <c r="C201" s="13" t="s">
        <v>59</v>
      </c>
      <c r="D201" s="74" t="e">
        <f>C201+D140</f>
        <v>#VALUE!</v>
      </c>
      <c r="E201" s="85"/>
    </row>
    <row r="202" spans="2:5" hidden="1" outlineLevel="1" x14ac:dyDescent="0.2">
      <c r="B202" s="45" t="s">
        <v>129</v>
      </c>
      <c r="C202" s="46" t="s">
        <v>59</v>
      </c>
      <c r="D202" s="75" t="e">
        <f>SUM(D190,D194,D197,D198:D201)</f>
        <v>#VALUE!</v>
      </c>
      <c r="E202" s="64">
        <f>SUM(E190,E194,E197,E198:E201)</f>
        <v>0</v>
      </c>
    </row>
    <row r="203" spans="2:5" collapsed="1" x14ac:dyDescent="0.2">
      <c r="B203" s="47" t="s">
        <v>130</v>
      </c>
      <c r="C203" s="48" t="s">
        <v>59</v>
      </c>
      <c r="D203" s="76" t="e">
        <f>ROUND(D186+D202,0)</f>
        <v>#VALUE!</v>
      </c>
      <c r="E203" s="65">
        <f>ROUND(E186+E202,0)</f>
        <v>0</v>
      </c>
    </row>
    <row r="204" spans="2:5" x14ac:dyDescent="0.2">
      <c r="C204" s="13"/>
      <c r="D204" s="13"/>
      <c r="E204" s="62"/>
    </row>
    <row r="205" spans="2:5" hidden="1" outlineLevel="2" x14ac:dyDescent="0.2">
      <c r="B205" s="43" t="s">
        <v>131</v>
      </c>
      <c r="C205" s="13" t="s">
        <v>59</v>
      </c>
      <c r="D205" s="74" t="str">
        <f>C205</f>
        <v>€</v>
      </c>
      <c r="E205" s="85"/>
    </row>
    <row r="206" spans="2:5" hidden="1" outlineLevel="2" x14ac:dyDescent="0.2">
      <c r="B206" s="43" t="s">
        <v>132</v>
      </c>
      <c r="C206" s="13" t="s">
        <v>59</v>
      </c>
      <c r="D206" s="74" t="str">
        <f t="shared" ref="D206:D222" si="2">C206</f>
        <v>€</v>
      </c>
      <c r="E206" s="85"/>
    </row>
    <row r="207" spans="2:5" hidden="1" outlineLevel="2" x14ac:dyDescent="0.2">
      <c r="B207" s="43" t="s">
        <v>133</v>
      </c>
      <c r="C207" s="13" t="s">
        <v>59</v>
      </c>
      <c r="D207" s="74" t="str">
        <f t="shared" si="2"/>
        <v>€</v>
      </c>
      <c r="E207" s="85"/>
    </row>
    <row r="208" spans="2:5" hidden="1" outlineLevel="2" x14ac:dyDescent="0.2">
      <c r="B208" s="43" t="s">
        <v>134</v>
      </c>
      <c r="C208" s="13" t="s">
        <v>59</v>
      </c>
      <c r="D208" s="74"/>
      <c r="E208" s="85"/>
    </row>
    <row r="209" spans="2:5" hidden="1" outlineLevel="2" x14ac:dyDescent="0.2">
      <c r="B209" s="43" t="s">
        <v>135</v>
      </c>
      <c r="C209" s="13" t="s">
        <v>59</v>
      </c>
      <c r="D209" s="74" t="str">
        <f t="shared" si="2"/>
        <v>€</v>
      </c>
      <c r="E209" s="85"/>
    </row>
    <row r="210" spans="2:5" hidden="1" outlineLevel="2" x14ac:dyDescent="0.2">
      <c r="B210" s="43" t="s">
        <v>197</v>
      </c>
      <c r="C210" s="13" t="s">
        <v>59</v>
      </c>
      <c r="D210" s="74" t="str">
        <f t="shared" si="2"/>
        <v>€</v>
      </c>
      <c r="E210" s="85"/>
    </row>
    <row r="211" spans="2:5" hidden="1" outlineLevel="1" x14ac:dyDescent="0.2">
      <c r="B211" s="45" t="s">
        <v>136</v>
      </c>
      <c r="C211" s="46" t="s">
        <v>59</v>
      </c>
      <c r="D211" s="75">
        <f>SUM(D205:D210)</f>
        <v>0</v>
      </c>
      <c r="E211" s="86">
        <f>SUM(E205:E210)</f>
        <v>0</v>
      </c>
    </row>
    <row r="212" spans="2:5" hidden="1" outlineLevel="3" x14ac:dyDescent="0.2">
      <c r="B212" s="44" t="s">
        <v>137</v>
      </c>
      <c r="C212" s="13" t="s">
        <v>59</v>
      </c>
      <c r="D212" s="74" t="str">
        <f t="shared" si="2"/>
        <v>€</v>
      </c>
      <c r="E212" s="85"/>
    </row>
    <row r="213" spans="2:5" hidden="1" outlineLevel="3" x14ac:dyDescent="0.2">
      <c r="B213" s="54" t="s">
        <v>138</v>
      </c>
      <c r="C213" s="15" t="s">
        <v>59</v>
      </c>
      <c r="D213" s="77" t="str">
        <f t="shared" si="2"/>
        <v>€</v>
      </c>
      <c r="E213" s="87"/>
    </row>
    <row r="214" spans="2:5" hidden="1" outlineLevel="2" x14ac:dyDescent="0.2">
      <c r="B214" s="43" t="s">
        <v>139</v>
      </c>
      <c r="C214" s="13" t="s">
        <v>59</v>
      </c>
      <c r="D214" s="74">
        <f>SUM(D212:D213)</f>
        <v>0</v>
      </c>
      <c r="E214" s="85">
        <f>SUM(E212:E213)</f>
        <v>0</v>
      </c>
    </row>
    <row r="215" spans="2:5" hidden="1" outlineLevel="2" x14ac:dyDescent="0.2">
      <c r="B215" s="43" t="s">
        <v>140</v>
      </c>
      <c r="C215" s="13" t="s">
        <v>59</v>
      </c>
      <c r="D215" s="74" t="str">
        <f t="shared" si="2"/>
        <v>€</v>
      </c>
      <c r="E215" s="85"/>
    </row>
    <row r="216" spans="2:5" hidden="1" outlineLevel="2" x14ac:dyDescent="0.2">
      <c r="B216" s="43" t="s">
        <v>141</v>
      </c>
      <c r="C216" s="13" t="s">
        <v>59</v>
      </c>
      <c r="D216" s="74" t="str">
        <f t="shared" si="2"/>
        <v>€</v>
      </c>
      <c r="E216" s="85"/>
    </row>
    <row r="217" spans="2:5" hidden="1" outlineLevel="2" x14ac:dyDescent="0.2">
      <c r="B217" s="43" t="s">
        <v>142</v>
      </c>
      <c r="C217" s="13" t="s">
        <v>59</v>
      </c>
      <c r="D217" s="74" t="str">
        <f t="shared" si="2"/>
        <v>€</v>
      </c>
      <c r="E217" s="85"/>
    </row>
    <row r="218" spans="2:5" hidden="1" outlineLevel="2" x14ac:dyDescent="0.2">
      <c r="B218" s="43" t="s">
        <v>143</v>
      </c>
      <c r="C218" s="13" t="s">
        <v>59</v>
      </c>
      <c r="D218" s="74" t="str">
        <f t="shared" si="2"/>
        <v>€</v>
      </c>
      <c r="E218" s="85"/>
    </row>
    <row r="219" spans="2:5" hidden="1" outlineLevel="2" x14ac:dyDescent="0.2">
      <c r="B219" s="43" t="s">
        <v>144</v>
      </c>
      <c r="C219" s="13" t="s">
        <v>59</v>
      </c>
      <c r="D219" s="74" t="str">
        <f t="shared" si="2"/>
        <v>€</v>
      </c>
      <c r="E219" s="85"/>
    </row>
    <row r="220" spans="2:5" hidden="1" outlineLevel="1" x14ac:dyDescent="0.2">
      <c r="B220" s="45" t="s">
        <v>145</v>
      </c>
      <c r="C220" s="46" t="s">
        <v>59</v>
      </c>
      <c r="D220" s="75">
        <f>SUM(D214,D215:D219)</f>
        <v>0</v>
      </c>
      <c r="E220" s="86">
        <f>SUM(E214,E215:E219)</f>
        <v>0</v>
      </c>
    </row>
    <row r="221" spans="2:5" hidden="1" outlineLevel="3" x14ac:dyDescent="0.2">
      <c r="B221" s="44" t="s">
        <v>146</v>
      </c>
      <c r="C221" s="13" t="s">
        <v>59</v>
      </c>
      <c r="D221" s="74" t="str">
        <f t="shared" si="2"/>
        <v>€</v>
      </c>
      <c r="E221" s="85"/>
    </row>
    <row r="222" spans="2:5" hidden="1" outlineLevel="3" x14ac:dyDescent="0.2">
      <c r="B222" s="54" t="s">
        <v>147</v>
      </c>
      <c r="C222" s="15" t="s">
        <v>59</v>
      </c>
      <c r="D222" s="77" t="str">
        <f t="shared" si="2"/>
        <v>€</v>
      </c>
      <c r="E222" s="87"/>
    </row>
    <row r="223" spans="2:5" hidden="1" outlineLevel="2" x14ac:dyDescent="0.2">
      <c r="B223" s="43" t="s">
        <v>148</v>
      </c>
      <c r="C223" s="13" t="s">
        <v>59</v>
      </c>
      <c r="D223" s="74">
        <f>SUM(D221:D222)</f>
        <v>0</v>
      </c>
      <c r="E223" s="85">
        <f>SUM(E221:E222)</f>
        <v>0</v>
      </c>
    </row>
    <row r="224" spans="2:5" hidden="1" outlineLevel="3" x14ac:dyDescent="0.2">
      <c r="B224" s="44" t="s">
        <v>149</v>
      </c>
      <c r="C224" s="13" t="s">
        <v>59</v>
      </c>
      <c r="D224" s="74" t="e">
        <f>C224+D157</f>
        <v>#VALUE!</v>
      </c>
      <c r="E224" s="85"/>
    </row>
    <row r="225" spans="1:5" hidden="1" outlineLevel="3" x14ac:dyDescent="0.2">
      <c r="B225" s="44" t="s">
        <v>150</v>
      </c>
      <c r="C225" s="13" t="s">
        <v>59</v>
      </c>
      <c r="D225" s="74" t="str">
        <f t="shared" ref="D225:D232" si="3">C225</f>
        <v>€</v>
      </c>
      <c r="E225" s="85"/>
    </row>
    <row r="226" spans="1:5" hidden="1" outlineLevel="3" x14ac:dyDescent="0.2">
      <c r="B226" s="54" t="s">
        <v>151</v>
      </c>
      <c r="C226" s="15" t="s">
        <v>59</v>
      </c>
      <c r="D226" s="77" t="str">
        <f t="shared" si="3"/>
        <v>€</v>
      </c>
      <c r="E226" s="87"/>
    </row>
    <row r="227" spans="1:5" hidden="1" outlineLevel="2" x14ac:dyDescent="0.2">
      <c r="B227" s="43" t="s">
        <v>152</v>
      </c>
      <c r="C227" s="13" t="s">
        <v>59</v>
      </c>
      <c r="D227" s="74" t="e">
        <f>SUM(D224:D226)</f>
        <v>#VALUE!</v>
      </c>
      <c r="E227" s="85">
        <f>SUM(E224:E226)</f>
        <v>0</v>
      </c>
    </row>
    <row r="228" spans="1:5" hidden="1" outlineLevel="2" x14ac:dyDescent="0.2">
      <c r="B228" s="43" t="s">
        <v>153</v>
      </c>
      <c r="C228" s="13" t="s">
        <v>59</v>
      </c>
      <c r="D228" s="74" t="str">
        <f t="shared" si="3"/>
        <v>€</v>
      </c>
      <c r="E228" s="85"/>
    </row>
    <row r="229" spans="1:5" hidden="1" outlineLevel="2" x14ac:dyDescent="0.2">
      <c r="B229" s="43" t="s">
        <v>154</v>
      </c>
      <c r="C229" s="13" t="s">
        <v>59</v>
      </c>
      <c r="D229" s="74" t="str">
        <f t="shared" si="3"/>
        <v>€</v>
      </c>
      <c r="E229" s="85"/>
    </row>
    <row r="230" spans="1:5" hidden="1" outlineLevel="2" x14ac:dyDescent="0.2">
      <c r="B230" s="43" t="s">
        <v>155</v>
      </c>
      <c r="C230" s="13" t="s">
        <v>59</v>
      </c>
      <c r="D230" s="74" t="str">
        <f t="shared" si="3"/>
        <v>€</v>
      </c>
      <c r="E230" s="85"/>
    </row>
    <row r="231" spans="1:5" hidden="1" outlineLevel="2" x14ac:dyDescent="0.2">
      <c r="B231" s="43" t="s">
        <v>156</v>
      </c>
      <c r="C231" s="13" t="s">
        <v>59</v>
      </c>
      <c r="D231" s="74" t="str">
        <f t="shared" si="3"/>
        <v>€</v>
      </c>
      <c r="E231" s="85"/>
    </row>
    <row r="232" spans="1:5" hidden="1" outlineLevel="2" x14ac:dyDescent="0.2">
      <c r="B232" s="43" t="s">
        <v>157</v>
      </c>
      <c r="C232" s="13" t="s">
        <v>59</v>
      </c>
      <c r="D232" s="74" t="str">
        <f t="shared" si="3"/>
        <v>€</v>
      </c>
      <c r="E232" s="85"/>
    </row>
    <row r="233" spans="1:5" hidden="1" outlineLevel="1" x14ac:dyDescent="0.2">
      <c r="B233" s="45" t="s">
        <v>158</v>
      </c>
      <c r="C233" s="46" t="s">
        <v>59</v>
      </c>
      <c r="D233" s="75" t="e">
        <f>SUM(D223,D227,D228:D232)</f>
        <v>#VALUE!</v>
      </c>
      <c r="E233" s="64">
        <f>SUM(E223,E227,E228:E232)</f>
        <v>0</v>
      </c>
    </row>
    <row r="234" spans="1:5" collapsed="1" x14ac:dyDescent="0.2">
      <c r="B234" s="47" t="s">
        <v>159</v>
      </c>
      <c r="C234" s="48" t="s">
        <v>59</v>
      </c>
      <c r="D234" s="76" t="e">
        <f>ROUND(D211+D220+D233,0)</f>
        <v>#VALUE!</v>
      </c>
      <c r="E234" s="65">
        <f>ROUND(E211+E220+E233,0)</f>
        <v>0</v>
      </c>
    </row>
    <row r="235" spans="1:5" x14ac:dyDescent="0.2">
      <c r="A235" s="55"/>
      <c r="B235" s="55"/>
      <c r="C235" s="56"/>
      <c r="D235" s="56"/>
      <c r="E235" s="66"/>
    </row>
    <row r="236" spans="1:5" x14ac:dyDescent="0.2">
      <c r="A236" s="7" t="s">
        <v>160</v>
      </c>
      <c r="B236" s="8"/>
      <c r="C236" s="9"/>
      <c r="D236" s="9"/>
      <c r="E236" s="57"/>
    </row>
    <row r="238" spans="1:5" ht="15.75" x14ac:dyDescent="0.2">
      <c r="A238" s="88" t="s">
        <v>198</v>
      </c>
      <c r="B238" s="89"/>
      <c r="C238" s="90"/>
      <c r="D238" s="91" t="e">
        <f>IF((D203-D234)=0,"a","r")</f>
        <v>#VALUE!</v>
      </c>
      <c r="E238" s="91" t="str">
        <f>IF((E203-E234)=0,"a","r")</f>
        <v>a</v>
      </c>
    </row>
  </sheetData>
  <mergeCells count="3">
    <mergeCell ref="C4:C5"/>
    <mergeCell ref="E4:E5"/>
    <mergeCell ref="D4:D5"/>
  </mergeCells>
  <conditionalFormatting sqref="D65 D83 D95 D100 D104 D140">
    <cfRule type="cellIs" dxfId="3" priority="3" operator="equal">
      <formula>0</formula>
    </cfRule>
    <cfRule type="cellIs" dxfId="2" priority="4" operator="lessThan">
      <formula>0</formula>
    </cfRule>
  </conditionalFormatting>
  <conditionalFormatting sqref="D238:E238">
    <cfRule type="cellIs" dxfId="1" priority="2" operator="equal">
      <formula>"a"</formula>
    </cfRule>
    <cfRule type="cellIs" dxfId="0" priority="1" operator="equal">
      <formula>"r"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PlantTemplate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Palumbo</dc:creator>
  <cp:lastModifiedBy>Francisco Palumbo</cp:lastModifiedBy>
  <dcterms:created xsi:type="dcterms:W3CDTF">2022-08-03T11:07:34Z</dcterms:created>
  <dcterms:modified xsi:type="dcterms:W3CDTF">2022-08-23T08:42:05Z</dcterms:modified>
</cp:coreProperties>
</file>